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illinoisedu.sharepoint.com/sites/IllinoisBusinessConsulting-FA25-Project18/Shared Documents/Gies College of Business/F - Final Files/"/>
    </mc:Choice>
  </mc:AlternateContent>
  <xr:revisionPtr revIDLastSave="5" documentId="11_886E91014B04897BA04F7A0B493BBEFA5FF3E02D" xr6:coauthVersionLast="47" xr6:coauthVersionMax="47" xr10:uidLastSave="{7BA9DCE7-2734-C841-8B0A-F7E9A6A8B3CB}"/>
  <bookViews>
    <workbookView xWindow="0" yWindow="760" windowWidth="29400" windowHeight="16900" firstSheet="2" activeTab="4" xr2:uid="{00000000-000D-0000-FFFF-FFFF00000000}"/>
  </bookViews>
  <sheets>
    <sheet name="Data Set" sheetId="1" r:id="rId1"/>
    <sheet name="Summary" sheetId="2" r:id="rId2"/>
    <sheet name="Assumptions" sheetId="3" r:id="rId3"/>
    <sheet name="MSBA_Projections" sheetId="4" r:id="rId4"/>
    <sheet name="Scenari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 a="1"/>
  <c r="E6" i="5"/>
  <c r="D6" i="5" a="1"/>
  <c r="D6" i="5"/>
  <c r="C6" i="5" a="1"/>
  <c r="C6" i="5"/>
  <c r="F5" i="4" a="1"/>
  <c r="F5" i="4"/>
  <c r="C55" i="3" a="1"/>
  <c r="C55" i="3"/>
  <c r="D40" i="3"/>
  <c r="D39" i="3"/>
  <c r="D38" i="3"/>
  <c r="D37" i="3"/>
  <c r="C41" i="3" s="1"/>
  <c r="D25" i="3"/>
  <c r="C31" i="3" s="1"/>
  <c r="C53" i="3" s="1" a="1"/>
  <c r="C53" i="3" s="1"/>
  <c r="D24" i="3"/>
  <c r="D23" i="3"/>
  <c r="D22" i="3"/>
  <c r="C30" i="3" s="1"/>
  <c r="C52" i="3" s="1" a="1"/>
  <c r="C52" i="3" s="1"/>
  <c r="D21" i="3"/>
  <c r="D20" i="3"/>
  <c r="D19" i="3"/>
  <c r="D18" i="3"/>
  <c r="C29" i="3" s="1"/>
  <c r="D12" i="3"/>
  <c r="D11" i="3"/>
  <c r="D10" i="3"/>
  <c r="D9" i="3"/>
  <c r="H8" i="3"/>
  <c r="D8" i="3"/>
  <c r="H7" i="3"/>
  <c r="G11" i="3" s="1"/>
  <c r="D7" i="3"/>
  <c r="C13" i="3" s="1"/>
  <c r="B63" i="2" a="1"/>
  <c r="B63" i="2"/>
  <c r="B62" i="2" a="1"/>
  <c r="B62" i="2"/>
  <c r="B61" i="2" a="1"/>
  <c r="B61" i="2"/>
  <c r="B60" i="2" a="1"/>
  <c r="B60" i="2"/>
  <c r="B59" i="2" a="1"/>
  <c r="B59" i="2"/>
  <c r="B58" i="2" a="1"/>
  <c r="B58" i="2"/>
  <c r="B57" i="2" a="1"/>
  <c r="B57" i="2"/>
  <c r="B56" i="2" a="1"/>
  <c r="B56" i="2"/>
  <c r="B55" i="2" a="1"/>
  <c r="B55" i="2"/>
  <c r="B54" i="2" a="1"/>
  <c r="B54" i="2"/>
  <c r="C53" i="2" a="1"/>
  <c r="C53" i="2"/>
  <c r="B53" i="2" a="1"/>
  <c r="B53" i="2"/>
  <c r="D27" i="2" a="1"/>
  <c r="D27" i="2"/>
  <c r="C27" i="2" a="1"/>
  <c r="C27" i="2"/>
  <c r="C26" i="2" a="1"/>
  <c r="C26" i="2"/>
  <c r="C25" i="2" a="1"/>
  <c r="C25" i="2"/>
  <c r="M56" i="1"/>
  <c r="N56" i="1" s="1"/>
  <c r="M55" i="1"/>
  <c r="M54" i="1"/>
  <c r="N54" i="1" s="1"/>
  <c r="O54" i="1" s="1"/>
  <c r="M53" i="1"/>
  <c r="D53" i="1"/>
  <c r="M52" i="1"/>
  <c r="N52" i="1" s="1"/>
  <c r="O52" i="1" s="1"/>
  <c r="E52" i="1"/>
  <c r="M51" i="1"/>
  <c r="M50" i="1"/>
  <c r="N50" i="1" s="1"/>
  <c r="O50" i="1" s="1"/>
  <c r="E50" i="1"/>
  <c r="F50" i="1" s="1"/>
  <c r="M49" i="1"/>
  <c r="M48" i="1"/>
  <c r="N48" i="1" s="1"/>
  <c r="O48" i="1" s="1"/>
  <c r="E48" i="1"/>
  <c r="F48" i="1" s="1"/>
  <c r="M47" i="1"/>
  <c r="M46" i="1"/>
  <c r="N46" i="1" s="1"/>
  <c r="O46" i="1" s="1"/>
  <c r="E46" i="1"/>
  <c r="F46" i="1" s="1"/>
  <c r="M45" i="1"/>
  <c r="M44" i="1"/>
  <c r="N44" i="1" s="1"/>
  <c r="O44" i="1" s="1"/>
  <c r="E44" i="1"/>
  <c r="F44" i="1" s="1"/>
  <c r="M43" i="1"/>
  <c r="M42" i="1"/>
  <c r="N42" i="1" s="1"/>
  <c r="O42" i="1" s="1"/>
  <c r="E42" i="1"/>
  <c r="F42" i="1" s="1"/>
  <c r="M41" i="1"/>
  <c r="M40" i="1"/>
  <c r="N40" i="1" s="1"/>
  <c r="O40" i="1" s="1"/>
  <c r="E40" i="1"/>
  <c r="F40" i="1" s="1"/>
  <c r="E27" i="1"/>
  <c r="E25" i="1"/>
  <c r="F25" i="1" s="1"/>
  <c r="E23" i="1"/>
  <c r="F23" i="1" s="1"/>
  <c r="E14" i="1"/>
  <c r="E12" i="1"/>
  <c r="F12" i="1" s="1"/>
  <c r="E10" i="1"/>
  <c r="F10" i="1" s="1"/>
  <c r="E8" i="1"/>
  <c r="F8" i="1" s="1"/>
  <c r="E6" i="1"/>
  <c r="F6" i="1" s="1"/>
  <c r="C51" i="3" l="1"/>
  <c r="D63" i="3"/>
  <c r="D62" i="3"/>
  <c r="D61" i="3"/>
  <c r="E15" i="4" a="1"/>
  <c r="E15" i="4" s="1"/>
  <c r="D63" i="2" s="1" a="1"/>
  <c r="D63" i="2" s="1"/>
  <c r="E14" i="4" a="1"/>
  <c r="E14" i="4" s="1"/>
  <c r="D62" i="2" s="1" a="1"/>
  <c r="D62" i="2" s="1"/>
  <c r="E13" i="4" a="1"/>
  <c r="E13" i="4" s="1"/>
  <c r="D61" i="2" s="1" a="1"/>
  <c r="D61" i="2" s="1"/>
  <c r="E63" i="3"/>
  <c r="E62" i="3" a="1"/>
  <c r="E62" i="3" s="1"/>
  <c r="E61" i="3"/>
  <c r="C20" i="4" a="1"/>
  <c r="C20" i="4" s="1"/>
  <c r="C14" i="2" s="1" a="1"/>
  <c r="C14" i="2" s="1"/>
  <c r="E12" i="4" l="1" a="1"/>
  <c r="E12" i="4" s="1"/>
  <c r="D60" i="2" s="1" a="1"/>
  <c r="D60" i="2" s="1"/>
  <c r="E11" i="4" a="1"/>
  <c r="E11" i="4" s="1"/>
  <c r="D59" i="2" s="1" a="1"/>
  <c r="D59" i="2" s="1"/>
  <c r="E10" i="4" a="1"/>
  <c r="E10" i="4" s="1"/>
  <c r="D58" i="2" s="1" a="1"/>
  <c r="D58" i="2" s="1"/>
  <c r="D26" i="2" a="1"/>
  <c r="D26" i="2" s="1"/>
  <c r="E9" i="4" a="1"/>
  <c r="E9" i="4" s="1"/>
  <c r="D57" i="2" s="1" a="1"/>
  <c r="D57" i="2" s="1"/>
  <c r="E8" i="4" a="1"/>
  <c r="E8" i="4" s="1"/>
  <c r="D56" i="2" s="1" a="1"/>
  <c r="D56" i="2" s="1"/>
  <c r="E7" i="4" a="1"/>
  <c r="E7" i="4" s="1"/>
  <c r="D55" i="2" s="1" a="1"/>
  <c r="D55" i="2" s="1"/>
  <c r="E6" i="4" a="1"/>
  <c r="E6" i="4" s="1"/>
  <c r="C63" i="3"/>
  <c r="E7" i="5" s="1"/>
  <c r="E8" i="5" s="1"/>
  <c r="E9" i="5" s="1"/>
  <c r="E10" i="5" s="1"/>
  <c r="C62" i="3" a="1"/>
  <c r="C62" i="3" s="1"/>
  <c r="D7" i="5" s="1"/>
  <c r="D8" i="5" s="1"/>
  <c r="D9" i="5" s="1"/>
  <c r="D10" i="5" s="1"/>
  <c r="C61" i="3"/>
  <c r="C7" i="5" s="1"/>
  <c r="D25" i="2" a="1"/>
  <c r="D25" i="2" s="1"/>
  <c r="C8" i="5" l="1"/>
  <c r="F7" i="5"/>
  <c r="D25" i="5" a="1"/>
  <c r="D25" i="5" s="1"/>
  <c r="D11" i="5"/>
  <c r="D12" i="5" s="1"/>
  <c r="D13" i="5" s="1"/>
  <c r="D14" i="5" s="1"/>
  <c r="D15" i="5" s="1"/>
  <c r="D16" i="5" s="1"/>
  <c r="E25" i="5" a="1"/>
  <c r="E25" i="5" s="1"/>
  <c r="E11" i="5"/>
  <c r="E12" i="5" s="1"/>
  <c r="E13" i="5" s="1"/>
  <c r="E14" i="5" s="1"/>
  <c r="E15" i="5" s="1"/>
  <c r="E16" i="5" s="1"/>
  <c r="C23" i="4"/>
  <c r="C18" i="2" s="1" a="1"/>
  <c r="C18" i="2" s="1"/>
  <c r="D54" i="2" a="1"/>
  <c r="D54" i="2" s="1"/>
  <c r="F6" i="4"/>
  <c r="F7" i="4" l="1"/>
  <c r="G6" i="4"/>
  <c r="C54" i="2" a="1"/>
  <c r="C54" i="2" s="1"/>
  <c r="E24" i="5"/>
  <c r="E23" i="5"/>
  <c r="E22" i="5"/>
  <c r="E21" i="5" a="1"/>
  <c r="E21" i="5" s="1"/>
  <c r="D24" i="5"/>
  <c r="D23" i="5"/>
  <c r="D22" i="5"/>
  <c r="D21" i="5" a="1"/>
  <c r="D21" i="5" s="1"/>
  <c r="C9" i="5"/>
  <c r="F8" i="5"/>
  <c r="C10" i="5" l="1"/>
  <c r="F9" i="5"/>
  <c r="E54" i="2" a="1"/>
  <c r="E54" i="2" s="1"/>
  <c r="F8" i="4"/>
  <c r="G7" i="4"/>
  <c r="C55" i="2" a="1"/>
  <c r="C55" i="2" s="1"/>
  <c r="E55" i="2" l="1" a="1"/>
  <c r="E55" i="2" s="1"/>
  <c r="F9" i="4"/>
  <c r="G8" i="4"/>
  <c r="C56" i="2" a="1"/>
  <c r="C56" i="2" s="1"/>
  <c r="C25" i="5" a="1"/>
  <c r="C25" i="5" s="1"/>
  <c r="C11" i="5"/>
  <c r="F10" i="5"/>
  <c r="C12" i="5" l="1"/>
  <c r="F11" i="5"/>
  <c r="E56" i="2" a="1"/>
  <c r="E56" i="2" s="1"/>
  <c r="F10" i="4"/>
  <c r="G9" i="4"/>
  <c r="C57" i="2" a="1"/>
  <c r="C57" i="2" s="1"/>
  <c r="E57" i="2" l="1" a="1"/>
  <c r="E57" i="2" s="1"/>
  <c r="F11" i="4"/>
  <c r="G10" i="4"/>
  <c r="C58" i="2" a="1"/>
  <c r="C58" i="2" s="1"/>
  <c r="C13" i="5"/>
  <c r="F12" i="5"/>
  <c r="C14" i="5" l="1"/>
  <c r="F13" i="5"/>
  <c r="E58" i="2" a="1"/>
  <c r="E58" i="2" s="1"/>
  <c r="F12" i="4"/>
  <c r="G11" i="4"/>
  <c r="C59" i="2" a="1"/>
  <c r="C59" i="2" s="1"/>
  <c r="E59" i="2" l="1" a="1"/>
  <c r="E59" i="2" s="1"/>
  <c r="F13" i="4"/>
  <c r="G12" i="4"/>
  <c r="C60" i="2" a="1"/>
  <c r="C60" i="2" s="1"/>
  <c r="C15" i="5"/>
  <c r="F14" i="5"/>
  <c r="C16" i="5" l="1"/>
  <c r="F15" i="5"/>
  <c r="E60" i="2" a="1"/>
  <c r="E60" i="2" s="1"/>
  <c r="F14" i="4"/>
  <c r="G13" i="4"/>
  <c r="C61" i="2" a="1"/>
  <c r="C61" i="2" s="1"/>
  <c r="E61" i="2" l="1" a="1"/>
  <c r="E61" i="2" s="1"/>
  <c r="F15" i="4"/>
  <c r="G14" i="4"/>
  <c r="C62" i="2" a="1"/>
  <c r="C62" i="2" s="1"/>
  <c r="C24" i="5"/>
  <c r="C23" i="5"/>
  <c r="C22" i="5"/>
  <c r="C21" i="5" a="1"/>
  <c r="C21" i="5" s="1"/>
  <c r="F16" i="5"/>
  <c r="C30" i="5" s="1" a="1"/>
  <c r="C30" i="5" s="1"/>
  <c r="C29" i="5"/>
  <c r="C32" i="5"/>
  <c r="E62" i="2" l="1" a="1"/>
  <c r="E62" i="2" s="1"/>
  <c r="C22" i="4"/>
  <c r="C17" i="2" s="1" a="1"/>
  <c r="C17" i="2" s="1"/>
  <c r="C21" i="4" a="1"/>
  <c r="C21" i="4" s="1"/>
  <c r="C15" i="2" s="1" a="1"/>
  <c r="C15" i="2" s="1"/>
  <c r="C19" i="4"/>
  <c r="C16" i="2" s="1" a="1"/>
  <c r="C16" i="2" s="1"/>
  <c r="G15" i="4"/>
  <c r="C63" i="2" a="1"/>
  <c r="C63" i="2" s="1"/>
  <c r="E63" i="2" l="1" a="1"/>
  <c r="E63" i="2" s="1"/>
  <c r="C26" i="4" a="1"/>
  <c r="C26" i="4" s="1"/>
  <c r="C25" i="4"/>
  <c r="C19" i="2" s="1" a="1"/>
  <c r="C19" i="2" s="1"/>
  <c r="B65" i="2" l="1"/>
  <c r="C20" i="2" a="1"/>
  <c r="C2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<sst xmlns="http://schemas.openxmlformats.org/spreadsheetml/2006/main" count="229" uniqueCount="128">
  <si>
    <t>UIUC</t>
  </si>
  <si>
    <t xml:space="preserve">Master of Business Analytics (MSBA) </t>
  </si>
  <si>
    <t>Year</t>
  </si>
  <si>
    <t>Semester</t>
  </si>
  <si>
    <t># Enrolled</t>
  </si>
  <si>
    <t>Avg/Year</t>
  </si>
  <si>
    <t>Growth Rate (%)</t>
  </si>
  <si>
    <t>Source Link:</t>
  </si>
  <si>
    <t>https://www.dmi.illinois.edu/stuenr/#class</t>
  </si>
  <si>
    <t>Fall</t>
  </si>
  <si>
    <t>Spring</t>
  </si>
  <si>
    <t>--</t>
  </si>
  <si>
    <t xml:space="preserve">Iowa Tippie </t>
  </si>
  <si>
    <t xml:space="preserve">Master of Business Analytics (+iMSBA) </t>
  </si>
  <si>
    <t>https://registrar.uiowa.edu/data-reports-and-requests</t>
  </si>
  <si>
    <t>After the launch of Online MSA in April, 2017</t>
  </si>
  <si>
    <t>UIUC (2010 - 2016)</t>
  </si>
  <si>
    <t>UIUC (2017 - 2025)</t>
  </si>
  <si>
    <t>Master of Science in Accountancy (MSA)</t>
  </si>
  <si>
    <t>Master of Science in Accountancy + iMSA</t>
  </si>
  <si>
    <t>ONLINE iMSBA ENROLLMENT PROJECTION</t>
  </si>
  <si>
    <t>Growth Model Based on MSA/iMSA &amp; Iowa iMSBA Launch Impact</t>
  </si>
  <si>
    <t>EXECUTIVE SUMMARY</t>
  </si>
  <si>
    <t>Methodology:</t>
  </si>
  <si>
    <t>This projection blends UIUC's MSA/iMSA historical growth pattern with Iowa's iMSBA launch data to forecast UIUC Online iMSBA enrollment growth starting in 2026.</t>
  </si>
  <si>
    <t>KEY PROJECTIONS (2026-2035)</t>
  </si>
  <si>
    <t>Metric</t>
  </si>
  <si>
    <t>Value</t>
  </si>
  <si>
    <t>Starting Enrollment (2025)</t>
  </si>
  <si>
    <t>Projected Enrollment (2035)</t>
  </si>
  <si>
    <t>Total Growth</t>
  </si>
  <si>
    <t>Net Student Addition</t>
  </si>
  <si>
    <t>Average Annual Growth Rate</t>
  </si>
  <si>
    <t>Peak Annual Growth</t>
  </si>
  <si>
    <t>Year of Peak Growth</t>
  </si>
  <si>
    <t>GROWTH RATE COMPARISON: MSA/iMSA vs iMSBA</t>
  </si>
  <si>
    <t>Phase</t>
  </si>
  <si>
    <t>MSA/iMSA (Historical)</t>
  </si>
  <si>
    <t>iMSBA (Projected)</t>
  </si>
  <si>
    <t>Duration</t>
  </si>
  <si>
    <t>Launch Phase</t>
  </si>
  <si>
    <t>Years 1-4</t>
  </si>
  <si>
    <t>Maturity Phase</t>
  </si>
  <si>
    <t>Years 5-7</t>
  </si>
  <si>
    <t>Stabilization Phase</t>
  </si>
  <si>
    <t>Years 8-10</t>
  </si>
  <si>
    <t>KEY INSIGHTS</t>
  </si>
  <si>
    <t>1. Launch Phase Impact:</t>
  </si>
  <si>
    <t>Blending MSA/iMSA (35.5%) and Iowa iMSBA (70.1%) growth rates yields 52.8% average annual growth in the first 4 years (2026-2029). Applying this pattern, iMSBA enrollment could reach 608 students by 2029.</t>
  </si>
  <si>
    <t>2. Maturity Stabilization:</t>
  </si>
  <si>
    <t>MSA/iMSA growth slowed during maturity. iMSBA projections assume a minimum 2% growth during this phase (Years 5-7).</t>
  </si>
  <si>
    <t>3. Long-term Outlook:</t>
  </si>
  <si>
    <t>By 2035, iMSBA enrollment could reach approximately 928 students, representing a 7.3x increase from the 2025 baseline.</t>
  </si>
  <si>
    <t>SCENARIO ANALYSIS</t>
  </si>
  <si>
    <t>The projections assume Online iMSBA follows a blended growth trajectory based on MSA/iMSA and Iowa iMSBA patterns. Actual results may vary based on:</t>
  </si>
  <si>
    <t>• Market conditions and competition</t>
  </si>
  <si>
    <t>• Marketing and recruitment efforts</t>
  </si>
  <si>
    <t>• Program capacity and resources</t>
  </si>
  <si>
    <t>• Industry demand for business analytics skills</t>
  </si>
  <si>
    <t>• Pricing and financial aid strategies</t>
  </si>
  <si>
    <t>YEAR-BY-YEAR ENROLLMENT FORECAST</t>
  </si>
  <si>
    <t>Enrollment</t>
  </si>
  <si>
    <t>Growth Rate</t>
  </si>
  <si>
    <t>Net Addition</t>
  </si>
  <si>
    <t>Baseline</t>
  </si>
  <si>
    <t>N/A</t>
  </si>
  <si>
    <t>ENROLLMENT PROJECTION ASSUMPTIONS</t>
  </si>
  <si>
    <t>MSA Program Growth (Pre-Online Era: 2010-2016)</t>
  </si>
  <si>
    <t>IOWA iMSBA COMPARISON</t>
  </si>
  <si>
    <t>Avg Enrollment</t>
  </si>
  <si>
    <t>YoY Growth</t>
  </si>
  <si>
    <t>Note: Iowa launched online MSBA (iMSBA) in 2023</t>
  </si>
  <si>
    <t>Avg Growth Rate (Iowa iMSBA)</t>
  </si>
  <si>
    <t>Average Growth Rate (2011-2016)</t>
  </si>
  <si>
    <t>MSA + iMSA Growth (Post-Online Launch: 2017-2025)</t>
  </si>
  <si>
    <t>Growth Phase Analysis:</t>
  </si>
  <si>
    <t>Launch Phase (2017-2020)</t>
  </si>
  <si>
    <t>Maturity Phase (2021-2023)</t>
  </si>
  <si>
    <t>Stabilization Phase (2024+)</t>
  </si>
  <si>
    <t>UIUC MSBA Program Baseline (2021-2025)</t>
  </si>
  <si>
    <t>Average Growth Rate (2022-2025)</t>
  </si>
  <si>
    <t>PROJECTION SCENARIOS FOR ONLINE iMSBA</t>
  </si>
  <si>
    <t>Scenario Assumptions:</t>
  </si>
  <si>
    <t>Launch Year for Online iMSBA</t>
  </si>
  <si>
    <t>Projection Period (Years)</t>
  </si>
  <si>
    <t>Growth Rates to Apply:</t>
  </si>
  <si>
    <t>Launch Phase (Years 1-4)</t>
  </si>
  <si>
    <t>Blend of MSA/iMSA &amp; Iowa iMSBA growth</t>
  </si>
  <si>
    <t>Maturity Phase (Years 5-7)</t>
  </si>
  <si>
    <t>Based on MSA/iMSA Maturity Phase</t>
  </si>
  <si>
    <t>Stabilization Phase (Years 8+)</t>
  </si>
  <si>
    <t>Based on MSA/iMSA Stabilization</t>
  </si>
  <si>
    <t>Baseline Enrollment (2025)</t>
  </si>
  <si>
    <t>SCENARIO DEFINITIONS</t>
  </si>
  <si>
    <t>Scenario</t>
  </si>
  <si>
    <t>Stabilization</t>
  </si>
  <si>
    <t>Best Case</t>
  </si>
  <si>
    <t>Base Case</t>
  </si>
  <si>
    <t>Worst Case</t>
  </si>
  <si>
    <t>Notes:</t>
  </si>
  <si>
    <t>• Best Case: 20% acceleration above base pattern</t>
  </si>
  <si>
    <t>• Base Case: Blended MSA/iMSA + Iowa iMSBA growth</t>
  </si>
  <si>
    <t>• Worst Case: 30% slower than base pattern</t>
  </si>
  <si>
    <t>ONLINE iMSBA ENROLLMENT PROJECTIONS (2026-2035)</t>
  </si>
  <si>
    <t>Years Since Launch</t>
  </si>
  <si>
    <t>Growth Phase</t>
  </si>
  <si>
    <t>Applied Growth Rate</t>
  </si>
  <si>
    <t>Projected Enrollment</t>
  </si>
  <si>
    <t>YoY Change</t>
  </si>
  <si>
    <t>Baseline (Pre-Online)</t>
  </si>
  <si>
    <t>PROJECTION SUMMARY</t>
  </si>
  <si>
    <t>Total Growth (2025-2035)</t>
  </si>
  <si>
    <t>Ending Enrollment (2035)</t>
  </si>
  <si>
    <t>Total Student Growth</t>
  </si>
  <si>
    <t>Peak Annual Addition</t>
  </si>
  <si>
    <t>Year of Peak Addition</t>
  </si>
  <si>
    <t>ONLINE iMSBA ENROLLMENT SCENARIOS (2026-2035)</t>
  </si>
  <si>
    <t>Comparing Best Case, Base Case, and Worst Case Growth Projections</t>
  </si>
  <si>
    <t>Best-Worst Range</t>
  </si>
  <si>
    <t>SCENARIO COMPARISON SUMMARY</t>
  </si>
  <si>
    <t>2035 Enrollment</t>
  </si>
  <si>
    <t>Avg Annual Growth Rate</t>
  </si>
  <si>
    <t>2029 Enrollment (End Launch)</t>
  </si>
  <si>
    <t>KEY INSIGHTS:</t>
  </si>
  <si>
    <t>Enrollment Range by 2035:</t>
  </si>
  <si>
    <t>Variance between scenarios:</t>
  </si>
  <si>
    <t>students difference</t>
  </si>
  <si>
    <t>Most Likely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</si>
</sst>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b/>
      <sz val="14"/>
      <color rgb="FFFFFFFF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7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</patternFill>
    </fill>
    <fill>
      <patternFill patternType="solid">
        <fgColor rgb="FF4472C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ck">
        <color theme="5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</borders>
  <cellStyleXfs count="2">
    <xf numFmtId="0" fontId="0" fillId="0" borderId="1"/>
    <xf numFmtId="9" fontId="17" fillId="0" borderId="1" applyFont="0" applyFill="0" applyBorder="0" applyAlignment="0" applyProtection="0"/>
  </cellStyleXfs>
  <cellXfs count="99">
    <xf numFmtId="0" fontId="0" fillId="0" borderId="1" xfId="0"/>
    <xf numFmtId="0" fontId="1" fillId="0" borderId="1" xfId="0" applyFont="1" applyAlignment="1">
      <alignment horizontal="center"/>
    </xf>
    <xf numFmtId="0" fontId="1" fillId="0" borderId="1" xfId="0" applyFont="1"/>
    <xf numFmtId="0" fontId="2" fillId="2" borderId="1" xfId="0" applyFont="1" applyFill="1"/>
    <xf numFmtId="0" fontId="2" fillId="0" borderId="1" xfId="0" applyFont="1" applyAlignment="1">
      <alignment horizontal="center" vertical="center"/>
    </xf>
    <xf numFmtId="0" fontId="2" fillId="0" borderId="1" xfId="0" applyFont="1" applyAlignment="1">
      <alignment horizontal="center"/>
    </xf>
    <xf numFmtId="0" fontId="2" fillId="0" borderId="1" xfId="0" applyFont="1"/>
    <xf numFmtId="0" fontId="2" fillId="0" borderId="1" xfId="0" applyFont="1" applyAlignment="1">
      <alignment vertic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Alignment="1">
      <alignment horizontal="right"/>
    </xf>
    <xf numFmtId="0" fontId="2" fillId="15" borderId="1" xfId="0" applyFont="1" applyFill="1"/>
    <xf numFmtId="0" fontId="2" fillId="15" borderId="1" xfId="0" applyFont="1" applyFill="1" applyAlignment="1">
      <alignment horizontal="center"/>
    </xf>
    <xf numFmtId="0" fontId="0" fillId="15" borderId="1" xfId="0" applyFill="1"/>
    <xf numFmtId="0" fontId="2" fillId="15" borderId="1" xfId="0" applyFont="1" applyFill="1" applyAlignment="1">
      <alignment wrapText="1"/>
    </xf>
    <xf numFmtId="0" fontId="9" fillId="15" borderId="1" xfId="0" applyFont="1" applyFill="1" applyAlignment="1">
      <alignment horizontal="center" vertical="center"/>
    </xf>
    <xf numFmtId="0" fontId="1" fillId="15" borderId="1" xfId="0" applyFont="1" applyFill="1" applyAlignment="1">
      <alignment horizontal="center"/>
    </xf>
    <xf numFmtId="0" fontId="1" fillId="15" borderId="1" xfId="0" applyFont="1" applyFill="1"/>
    <xf numFmtId="0" fontId="5" fillId="4" borderId="1" xfId="0" applyFont="1" applyFill="1" applyAlignment="1">
      <alignment vertical="top"/>
    </xf>
    <xf numFmtId="0" fontId="4" fillId="0" borderId="1" xfId="0" applyFont="1" applyAlignment="1">
      <alignment vertical="top"/>
    </xf>
    <xf numFmtId="0" fontId="3" fillId="0" borderId="1" xfId="0" applyFont="1" applyAlignment="1">
      <alignment vertical="top"/>
    </xf>
    <xf numFmtId="0" fontId="4" fillId="0" borderId="3" xfId="0" applyFont="1" applyBorder="1" applyAlignment="1">
      <alignment vertical="top"/>
    </xf>
    <xf numFmtId="3" fontId="3" fillId="5" borderId="1" xfId="0" applyNumberFormat="1" applyFont="1" applyFill="1" applyAlignment="1">
      <alignment vertical="top"/>
    </xf>
    <xf numFmtId="164" fontId="3" fillId="5" borderId="1" xfId="0" applyNumberFormat="1" applyFont="1" applyFill="1" applyAlignment="1">
      <alignment vertical="top"/>
    </xf>
    <xf numFmtId="0" fontId="3" fillId="5" borderId="1" xfId="0" applyFont="1" applyFill="1" applyAlignment="1">
      <alignment vertical="top"/>
    </xf>
    <xf numFmtId="164" fontId="3" fillId="0" borderId="1" xfId="0" applyNumberFormat="1" applyFont="1" applyAlignment="1">
      <alignment vertical="top"/>
    </xf>
    <xf numFmtId="0" fontId="6" fillId="4" borderId="1" xfId="0" applyFont="1" applyFill="1" applyAlignment="1">
      <alignment vertical="top"/>
    </xf>
    <xf numFmtId="0" fontId="1" fillId="4" borderId="1" xfId="0" applyFont="1" applyFill="1"/>
    <xf numFmtId="0" fontId="4" fillId="0" borderId="4" xfId="0" applyFont="1" applyBorder="1" applyAlignment="1">
      <alignment vertical="top"/>
    </xf>
    <xf numFmtId="0" fontId="3" fillId="6" borderId="1" xfId="0" applyFont="1" applyFill="1" applyAlignment="1">
      <alignment vertical="top"/>
    </xf>
    <xf numFmtId="3" fontId="3" fillId="6" borderId="1" xfId="0" applyNumberFormat="1" applyFont="1" applyFill="1" applyAlignment="1">
      <alignment vertical="top"/>
    </xf>
    <xf numFmtId="3" fontId="3" fillId="0" borderId="1" xfId="0" applyNumberFormat="1" applyFont="1" applyAlignment="1">
      <alignment vertical="top"/>
    </xf>
    <xf numFmtId="0" fontId="3" fillId="7" borderId="1" xfId="0" applyFont="1" applyFill="1" applyAlignment="1">
      <alignment vertical="top"/>
    </xf>
    <xf numFmtId="3" fontId="3" fillId="7" borderId="1" xfId="0" applyNumberFormat="1" applyFont="1" applyFill="1" applyAlignment="1">
      <alignment vertical="top"/>
    </xf>
    <xf numFmtId="164" fontId="3" fillId="7" borderId="1" xfId="0" applyNumberFormat="1" applyFont="1" applyFill="1" applyAlignment="1">
      <alignment vertical="top"/>
    </xf>
    <xf numFmtId="0" fontId="14" fillId="0" borderId="1" xfId="0" applyFont="1"/>
    <xf numFmtId="0" fontId="15" fillId="0" borderId="1" xfId="0" applyFont="1"/>
    <xf numFmtId="0" fontId="7" fillId="0" borderId="1" xfId="0" applyFont="1" applyAlignment="1">
      <alignment vertical="top"/>
    </xf>
    <xf numFmtId="49" fontId="3" fillId="0" borderId="1" xfId="0" applyNumberFormat="1" applyFont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3" fontId="3" fillId="9" borderId="1" xfId="0" applyNumberFormat="1" applyFont="1" applyFill="1" applyAlignment="1">
      <alignment vertical="top"/>
    </xf>
    <xf numFmtId="3" fontId="3" fillId="10" borderId="1" xfId="0" applyNumberFormat="1" applyFont="1" applyFill="1" applyAlignment="1">
      <alignment vertical="top"/>
    </xf>
    <xf numFmtId="3" fontId="3" fillId="11" borderId="1" xfId="0" applyNumberFormat="1" applyFont="1" applyFill="1" applyAlignment="1">
      <alignment vertical="top"/>
    </xf>
    <xf numFmtId="164" fontId="3" fillId="9" borderId="1" xfId="0" applyNumberFormat="1" applyFont="1" applyFill="1" applyAlignment="1">
      <alignment vertical="top"/>
    </xf>
    <xf numFmtId="164" fontId="3" fillId="10" borderId="1" xfId="0" applyNumberFormat="1" applyFont="1" applyFill="1" applyAlignment="1">
      <alignment vertical="top"/>
    </xf>
    <xf numFmtId="164" fontId="3" fillId="11" borderId="1" xfId="0" applyNumberFormat="1" applyFont="1" applyFill="1" applyAlignment="1">
      <alignment vertical="top"/>
    </xf>
    <xf numFmtId="0" fontId="8" fillId="0" borderId="1" xfId="0" applyFont="1" applyAlignment="1">
      <alignment vertical="top"/>
    </xf>
    <xf numFmtId="0" fontId="1" fillId="0" borderId="3" xfId="0" applyFont="1" applyBorder="1"/>
    <xf numFmtId="164" fontId="2" fillId="0" borderId="1" xfId="0" applyNumberFormat="1" applyFont="1"/>
    <xf numFmtId="0" fontId="2" fillId="0" borderId="1" xfId="0" applyFont="1" applyAlignment="1">
      <alignment horizontal="left" indent="1"/>
    </xf>
    <xf numFmtId="49" fontId="1" fillId="0" borderId="1" xfId="0" applyNumberFormat="1" applyFont="1"/>
    <xf numFmtId="164" fontId="1" fillId="0" borderId="1" xfId="0" applyNumberFormat="1" applyFont="1"/>
    <xf numFmtId="49" fontId="2" fillId="0" borderId="5" xfId="0" applyNumberFormat="1" applyFont="1" applyBorder="1"/>
    <xf numFmtId="49" fontId="1" fillId="0" borderId="5" xfId="0" applyNumberFormat="1" applyFont="1" applyBorder="1"/>
    <xf numFmtId="164" fontId="1" fillId="0" borderId="5" xfId="0" applyNumberFormat="1" applyFont="1" applyBorder="1"/>
    <xf numFmtId="49" fontId="2" fillId="0" borderId="1" xfId="0" applyNumberFormat="1" applyFont="1"/>
    <xf numFmtId="0" fontId="2" fillId="8" borderId="1" xfId="0" applyFont="1" applyFill="1"/>
    <xf numFmtId="164" fontId="2" fillId="6" borderId="1" xfId="0" applyNumberFormat="1" applyFont="1" applyFill="1"/>
    <xf numFmtId="3" fontId="2" fillId="6" borderId="1" xfId="0" applyNumberFormat="1" applyFont="1" applyFill="1"/>
    <xf numFmtId="0" fontId="1" fillId="0" borderId="4" xfId="0" applyFont="1" applyBorder="1"/>
    <xf numFmtId="0" fontId="2" fillId="9" borderId="1" xfId="0" applyFont="1" applyFill="1"/>
    <xf numFmtId="164" fontId="2" fillId="9" borderId="1" xfId="0" applyNumberFormat="1" applyFont="1" applyFill="1"/>
    <xf numFmtId="0" fontId="2" fillId="10" borderId="1" xfId="0" applyFont="1" applyFill="1"/>
    <xf numFmtId="164" fontId="2" fillId="5" borderId="1" xfId="0" applyNumberFormat="1" applyFont="1" applyFill="1"/>
    <xf numFmtId="0" fontId="2" fillId="11" borderId="1" xfId="0" applyFont="1" applyFill="1"/>
    <xf numFmtId="164" fontId="2" fillId="11" borderId="1" xfId="0" applyNumberFormat="1" applyFont="1" applyFill="1"/>
    <xf numFmtId="9" fontId="2" fillId="15" borderId="1" xfId="1" quotePrefix="1" applyFont="1" applyFill="1" applyAlignment="1">
      <alignment horizontal="center" vertical="center"/>
    </xf>
    <xf numFmtId="9" fontId="2" fillId="15" borderId="1" xfId="1" applyFont="1" applyFill="1" applyAlignment="1">
      <alignment horizontal="center" vertical="center"/>
    </xf>
    <xf numFmtId="9" fontId="2" fillId="0" borderId="1" xfId="1" applyFont="1" applyAlignment="1">
      <alignment horizontal="center" vertical="center"/>
    </xf>
    <xf numFmtId="9" fontId="2" fillId="0" borderId="1" xfId="1" quotePrefix="1" applyFont="1" applyAlignment="1">
      <alignment horizontal="center" vertical="center"/>
    </xf>
    <xf numFmtId="0" fontId="2" fillId="15" borderId="1" xfId="0" applyFont="1" applyFill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2" fillId="13" borderId="1" xfId="0" applyFont="1" applyFill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9" fillId="12" borderId="1" xfId="0" applyFont="1" applyFill="1" applyAlignment="1">
      <alignment horizontal="center" vertical="center"/>
    </xf>
    <xf numFmtId="0" fontId="2" fillId="15" borderId="7" xfId="0" applyFont="1" applyFill="1" applyBorder="1" applyAlignment="1">
      <alignment horizontal="center" vertical="center" wrapText="1"/>
    </xf>
    <xf numFmtId="0" fontId="9" fillId="15" borderId="1" xfId="0" applyFont="1" applyFill="1" applyAlignment="1">
      <alignment horizontal="center" vertical="center"/>
    </xf>
    <xf numFmtId="0" fontId="9" fillId="12" borderId="1" xfId="0" applyFont="1" applyFill="1" applyAlignment="1">
      <alignment horizontal="center"/>
    </xf>
    <xf numFmtId="0" fontId="2" fillId="14" borderId="1" xfId="0" applyFont="1" applyFill="1" applyAlignment="1">
      <alignment horizontal="center" vertical="center"/>
    </xf>
    <xf numFmtId="0" fontId="1" fillId="2" borderId="1" xfId="0" applyFont="1" applyFill="1" applyAlignment="1">
      <alignment horizontal="center"/>
    </xf>
    <xf numFmtId="0" fontId="1" fillId="4" borderId="1" xfId="0" applyFont="1" applyFill="1" applyAlignment="1">
      <alignment horizontal="center"/>
    </xf>
    <xf numFmtId="0" fontId="6" fillId="4" borderId="1" xfId="0" applyFont="1" applyFill="1" applyAlignment="1">
      <alignment horizontal="center" vertical="top"/>
    </xf>
    <xf numFmtId="0" fontId="6" fillId="6" borderId="1" xfId="0" applyFont="1" applyFill="1" applyAlignment="1">
      <alignment horizontal="center" vertical="top"/>
    </xf>
    <xf numFmtId="0" fontId="10" fillId="16" borderId="1" xfId="0" applyFont="1" applyFill="1" applyAlignment="1">
      <alignment horizontal="center"/>
    </xf>
    <xf numFmtId="0" fontId="10" fillId="16" borderId="1" xfId="0" applyFont="1" applyFill="1" applyAlignment="1">
      <alignment horizontal="center" vertical="top"/>
    </xf>
    <xf numFmtId="0" fontId="2" fillId="3" borderId="1" xfId="0" applyFont="1" applyFill="1" applyAlignment="1">
      <alignment horizontal="center"/>
    </xf>
    <xf numFmtId="0" fontId="3" fillId="3" borderId="1" xfId="0" applyFont="1" applyFill="1" applyAlignment="1">
      <alignment horizontal="center" vertical="top"/>
    </xf>
    <xf numFmtId="0" fontId="16" fillId="16" borderId="1" xfId="0" applyFont="1" applyFill="1" applyAlignment="1">
      <alignment horizontal="center"/>
    </xf>
    <xf numFmtId="0" fontId="11" fillId="16" borderId="1" xfId="0" applyFont="1" applyFill="1" applyAlignment="1">
      <alignment horizontal="center" vertical="top"/>
    </xf>
    <xf numFmtId="49" fontId="12" fillId="3" borderId="1" xfId="0" applyNumberFormat="1" applyFont="1" applyFill="1" applyAlignment="1">
      <alignment horizontal="center" vertical="top"/>
    </xf>
    <xf numFmtId="49" fontId="1" fillId="4" borderId="1" xfId="0" applyNumberFormat="1" applyFont="1" applyFill="1" applyAlignment="1">
      <alignment horizontal="center"/>
    </xf>
    <xf numFmtId="49" fontId="4" fillId="4" borderId="1" xfId="0" applyNumberFormat="1" applyFont="1" applyFill="1" applyAlignment="1">
      <alignment horizontal="center" vertical="top"/>
    </xf>
    <xf numFmtId="0" fontId="4" fillId="4" borderId="1" xfId="0" applyFont="1" applyFill="1" applyAlignment="1">
      <alignment horizontal="center" vertical="top"/>
    </xf>
    <xf numFmtId="49" fontId="4" fillId="6" borderId="1" xfId="0" applyNumberFormat="1" applyFont="1" applyFill="1" applyAlignment="1">
      <alignment horizontal="center" vertical="top"/>
    </xf>
    <xf numFmtId="49" fontId="1" fillId="3" borderId="1" xfId="0" applyNumberFormat="1" applyFont="1" applyFill="1" applyAlignment="1">
      <alignment horizontal="center"/>
    </xf>
    <xf numFmtId="49" fontId="6" fillId="3" borderId="1" xfId="0" applyNumberFormat="1" applyFont="1" applyFill="1" applyAlignment="1">
      <alignment horizontal="center" vertical="top"/>
    </xf>
    <xf numFmtId="0" fontId="13" fillId="16" borderId="1" xfId="0" applyFont="1" applyFill="1" applyAlignment="1">
      <alignment horizontal="center"/>
    </xf>
    <xf numFmtId="0" fontId="13" fillId="16" borderId="1" xfId="0" applyFont="1" applyFill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ID" sz="1050" b="0">
                <a:solidFill>
                  <a:srgbClr val="333333"/>
                </a:solidFill>
                <a:latin typeface="Arial"/>
              </a:rPr>
              <a:t>Online MSBA Enrollment Projection (2025-2035)</a:t>
            </a:r>
            <a:endParaRPr lang="en-ID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MSBA Enrollment</c:v>
          </c:tx>
          <c:spPr>
            <a:ln w="19050"/>
          </c:spPr>
          <c:marker>
            <c:symbol val="none"/>
          </c:marker>
          <c:cat>
            <c:numRef>
              <c:f>MSBA_Projections!$B$6:$B$15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MSBA_Projections!$C$6:$C$15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B-438A-A467-0D8DEBEFB6D6}"/>
            </c:ext>
          </c:extLst>
        </c:ser>
        <c:ser>
          <c:idx val="1"/>
          <c:order val="1"/>
          <c:tx>
            <c:strRef>
              <c:f>Baseline (Pre-Online)</c:f>
            </c:strRef>
          </c:tx>
          <c:spPr>
            <a:ln w="19050"/>
          </c:spPr>
          <c:marker>
            <c:symbol val="none"/>
          </c:marker>
          <c:cat>
            <c:numRef>
              <c:f>MSBA_Projections!$B$6:$B$15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MSBA_Projections!$D$6:$D$15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B-438A-A467-0D8DEBEFB6D6}"/>
            </c:ext>
          </c:extLst>
        </c:ser>
        <c:ser>
          <c:idx val="2"/>
          <c:order val="2"/>
          <c:tx>
            <c:strRef>
              <c:f>N/A</c:f>
            </c:strRef>
          </c:tx>
          <c:spPr>
            <a:ln w="19050"/>
          </c:spPr>
          <c:marker>
            <c:symbol val="none"/>
          </c:marker>
          <c:cat>
            <c:numRef>
              <c:f>MSBA_Projections!$B$6:$B$15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MSBA_Projections!$E$6:$E$15</c:f>
              <c:numCache>
                <c:formatCode>0.0%</c:formatCode>
                <c:ptCount val="10"/>
                <c:pt idx="0">
                  <c:v>0.52802179157421725</c:v>
                </c:pt>
                <c:pt idx="1">
                  <c:v>0.52802179157421725</c:v>
                </c:pt>
                <c:pt idx="2">
                  <c:v>0.52802179157421725</c:v>
                </c:pt>
                <c:pt idx="3">
                  <c:v>0.52802179157421725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0.12908777969018925</c:v>
                </c:pt>
                <c:pt idx="8">
                  <c:v>0.12908777969018925</c:v>
                </c:pt>
                <c:pt idx="9">
                  <c:v>0.12908777969018925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B-438A-A467-0D8DEBEFB6D6}"/>
            </c:ext>
          </c:extLst>
        </c:ser>
        <c:ser>
          <c:idx val="3"/>
          <c:order val="3"/>
          <c:spPr>
            <a:ln w="19050"/>
          </c:spPr>
          <c:marker>
            <c:symbol val="none"/>
          </c:marker>
          <c:cat>
            <c:numRef>
              <c:f>MSBA_Projections!$B$6:$B$15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MSBA_Projections!$F$6:$F$15</c:f>
              <c:numCache>
                <c:formatCode>#,##0</c:formatCode>
                <c:ptCount val="10"/>
                <c:pt idx="0">
                  <c:v>170.3744297605252</c:v>
                </c:pt>
                <c:pt idx="1">
                  <c:v>260.33584140111333</c:v>
                </c:pt>
                <c:pt idx="2">
                  <c:v>397.79883878871044</c:v>
                </c:pt>
                <c:pt idx="3">
                  <c:v>607.84529433206853</c:v>
                </c:pt>
                <c:pt idx="4">
                  <c:v>620.00220021870996</c:v>
                </c:pt>
                <c:pt idx="5">
                  <c:v>632.40224422308415</c:v>
                </c:pt>
                <c:pt idx="6">
                  <c:v>645.05028910754584</c:v>
                </c:pt>
                <c:pt idx="7">
                  <c:v>728.31839871695365</c:v>
                </c:pt>
                <c:pt idx="8">
                  <c:v>822.33540371483923</c:v>
                </c:pt>
                <c:pt idx="9">
                  <c:v>928.48885514102324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B-438A-A467-0D8DEBEF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65067"/>
        <c:axId val="16583240"/>
      </c:lineChart>
      <c:catAx>
        <c:axId val="35865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6583240"/>
        <c:crosses val="autoZero"/>
        <c:auto val="1"/>
        <c:lblAlgn val="ctr"/>
        <c:lblOffset val="100"/>
        <c:tickMarkSkip val="1"/>
        <c:noMultiLvlLbl val="1"/>
      </c:catAx>
      <c:valAx>
        <c:axId val="16583240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35865067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solidFill>
                  <a:srgbClr val="333333"/>
                </a:solidFill>
                <a:latin typeface="Arial"/>
              </a:defRPr>
            </a:pPr>
            <a:r>
              <a:rPr lang="en-ID" sz="1600" b="1">
                <a:solidFill>
                  <a:srgbClr val="333333"/>
                </a:solidFill>
                <a:latin typeface="Arial"/>
              </a:rPr>
              <a:t>Online MSBA Enrollment Scenarios Comparison (2025-2035)</a:t>
            </a:r>
            <a:endParaRPr lang="en-ID" sz="1600" b="1"/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 Case</c:v>
          </c:tx>
          <c:spPr>
            <a:ln w="19050"/>
          </c:spPr>
          <c:marker>
            <c:symbol val="none"/>
          </c:marker>
          <c:cat>
            <c:numRef>
              <c:f>Scenarios!$B$6:$B$16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Scenarios!$C$6:$C$16</c:f>
              <c:numCache>
                <c:formatCode>#,##0</c:formatCode>
                <c:ptCount val="11"/>
                <c:pt idx="0">
                  <c:v>111.5</c:v>
                </c:pt>
                <c:pt idx="1">
                  <c:v>182.14931571263028</c:v>
                </c:pt>
                <c:pt idx="2">
                  <c:v>297.56388533255119</c:v>
                </c:pt>
                <c:pt idx="3">
                  <c:v>486.10814434184556</c:v>
                </c:pt>
                <c:pt idx="4">
                  <c:v>794.11897627088501</c:v>
                </c:pt>
                <c:pt idx="5">
                  <c:v>833.82492508442931</c:v>
                </c:pt>
                <c:pt idx="6">
                  <c:v>875.51617133865079</c:v>
                </c:pt>
                <c:pt idx="7">
                  <c:v>919.29197990558339</c:v>
                </c:pt>
                <c:pt idx="8">
                  <c:v>1061.695212593195</c:v>
                </c:pt>
                <c:pt idx="9">
                  <c:v>1226.1574658348259</c:v>
                </c:pt>
                <c:pt idx="10">
                  <c:v>1416.095799613026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6-4FC1-8C5D-9D700503298C}"/>
            </c:ext>
          </c:extLst>
        </c:ser>
        <c:ser>
          <c:idx val="1"/>
          <c:order val="1"/>
          <c:tx>
            <c:v>Base case</c:v>
          </c:tx>
          <c:spPr>
            <a:ln w="19050"/>
          </c:spPr>
          <c:marker>
            <c:symbol val="none"/>
          </c:marker>
          <c:cat>
            <c:numRef>
              <c:f>Scenarios!$B$6:$B$16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Scenarios!$D$6:$D$16</c:f>
              <c:numCache>
                <c:formatCode>#,##0</c:formatCode>
                <c:ptCount val="11"/>
                <c:pt idx="0">
                  <c:v>111.5</c:v>
                </c:pt>
                <c:pt idx="1">
                  <c:v>170.3744297605252</c:v>
                </c:pt>
                <c:pt idx="2">
                  <c:v>260.33584140111333</c:v>
                </c:pt>
                <c:pt idx="3">
                  <c:v>397.79883878871044</c:v>
                </c:pt>
                <c:pt idx="4">
                  <c:v>607.84529433206853</c:v>
                </c:pt>
                <c:pt idx="5">
                  <c:v>620.00220021870996</c:v>
                </c:pt>
                <c:pt idx="6">
                  <c:v>632.40224422308415</c:v>
                </c:pt>
                <c:pt idx="7">
                  <c:v>645.05028910754584</c:v>
                </c:pt>
                <c:pt idx="8">
                  <c:v>728.31839871695365</c:v>
                </c:pt>
                <c:pt idx="9">
                  <c:v>822.33540371483923</c:v>
                </c:pt>
                <c:pt idx="10">
                  <c:v>928.48885514102324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36-4FC1-8C5D-9D700503298C}"/>
            </c:ext>
          </c:extLst>
        </c:ser>
        <c:ser>
          <c:idx val="2"/>
          <c:order val="2"/>
          <c:tx>
            <c:v>Worst Case</c:v>
          </c:tx>
          <c:spPr>
            <a:ln w="19050"/>
          </c:spPr>
          <c:marker>
            <c:symbol val="none"/>
          </c:marker>
          <c:cat>
            <c:numRef>
              <c:f>Scenarios!$B$6:$B$16</c:f>
              <c:numCache>
                <c:formatCode>General</c:formatCod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numCache>
            </c:numRef>
          </c:cat>
          <c:val>
            <c:numRef>
              <c:f>Scenarios!$E$6:$E$16</c:f>
              <c:numCache>
                <c:formatCode>#,##0</c:formatCode>
                <c:ptCount val="11"/>
                <c:pt idx="0">
                  <c:v>111.5</c:v>
                </c:pt>
                <c:pt idx="1">
                  <c:v>152.71210083236764</c:v>
                </c:pt>
                <c:pt idx="2">
                  <c:v>209.15682278596611</c:v>
                </c:pt>
                <c:pt idx="3">
                  <c:v>286.4643749871579</c:v>
                </c:pt>
                <c:pt idx="4">
                  <c:v>392.34597773919313</c:v>
                </c:pt>
                <c:pt idx="5">
                  <c:v>392.34597773919313</c:v>
                </c:pt>
                <c:pt idx="6">
                  <c:v>392.34597773919313</c:v>
                </c:pt>
                <c:pt idx="7">
                  <c:v>392.34597773919313</c:v>
                </c:pt>
                <c:pt idx="8">
                  <c:v>427.79892753490338</c:v>
                </c:pt>
                <c:pt idx="9">
                  <c:v>466.45545713143082</c:v>
                </c:pt>
                <c:pt idx="10">
                  <c:v>508.60504663125892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36-4FC1-8C5D-9D700503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95053"/>
        <c:axId val="70653927"/>
      </c:lineChart>
      <c:catAx>
        <c:axId val="49995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100" b="0">
                <a:solidFill>
                  <a:schemeClr val="tx1"/>
                </a:solidFill>
                <a:latin typeface="+mn-lt"/>
              </a:defRPr>
            </a:pPr>
            <a:endParaRPr lang="en-US"/>
          </a:p>
        </c:txPr>
        <c:crossAx val="70653927"/>
        <c:crosses val="autoZero"/>
        <c:auto val="1"/>
        <c:lblAlgn val="ctr"/>
        <c:lblOffset val="0"/>
        <c:tickMarkSkip val="1"/>
        <c:noMultiLvlLbl val="1"/>
      </c:catAx>
      <c:valAx>
        <c:axId val="70653927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solidFill>
                      <a:schemeClr val="tx1"/>
                    </a:solidFill>
                    <a:latin typeface="+mn-lt"/>
                  </a:defRPr>
                </a:pPr>
                <a:r>
                  <a:rPr lang="en-ID" sz="1200" b="0">
                    <a:solidFill>
                      <a:schemeClr val="tx1"/>
                    </a:solidFill>
                    <a:latin typeface="+mn-lt"/>
                  </a:rPr>
                  <a:t>Total Enrollment</a:t>
                </a:r>
                <a:endParaRPr lang="en-ID" sz="1200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1100" b="0">
                <a:solidFill>
                  <a:schemeClr val="tx1"/>
                </a:solidFill>
                <a:latin typeface="+mn-lt"/>
              </a:defRPr>
            </a:pPr>
            <a:endParaRPr lang="en-US"/>
          </a:p>
        </c:txPr>
        <c:crossAx val="49995053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lstStyle/>
        <a:p>
          <a:pPr>
            <a:defRPr sz="1200" b="0">
              <a:solidFill>
                <a:schemeClr val="tx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521535</xdr:colOff>
      <xdr:row>32</xdr:row>
      <xdr:rowOff>103278</xdr:rowOff>
    </xdr:from>
    <xdr:to>
      <xdr:col>8</xdr:col>
      <xdr:colOff>686268</xdr:colOff>
      <xdr:row>34</xdr:row>
      <xdr:rowOff>109799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>
        <a:xfrm>
          <a:off x="4085729" y="6340617"/>
          <a:ext cx="2653523" cy="375231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 algn="ctr">
          <a:noFill/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anchor="t"/>
        <a:lstStyle/>
        <a:p>
          <a:pPr algn="l">
            <a:defRPr sz="1100">
              <a:solidFill>
                <a:schemeClr val="bg1"/>
              </a:solidFill>
              <a:latin typeface="+mn-lt"/>
            </a:defRPr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726551</xdr:colOff>
      <xdr:row>15</xdr:row>
      <xdr:rowOff>141219</xdr:rowOff>
    </xdr:from>
    <xdr:to>
      <xdr:col>9</xdr:col>
      <xdr:colOff>288401</xdr:colOff>
      <xdr:row>34</xdr:row>
      <xdr:rowOff>63362</xdr:rowOff>
    </xdr:to>
    <xdr:graphicFrame macro="">
      <xdr:nvGraphicFramePr>
        <xdr:cNvPr id="2" name="EnrollmentProjectio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276437</xdr:colOff>
      <xdr:row>18</xdr:row>
      <xdr:rowOff>66252</xdr:rowOff>
    </xdr:from>
    <xdr:to>
      <xdr:col>15</xdr:col>
      <xdr:colOff>284904</xdr:colOff>
      <xdr:row>37</xdr:row>
      <xdr:rowOff>155152</xdr:rowOff>
    </xdr:to>
    <xdr:graphicFrame macro="">
      <xdr:nvGraphicFramePr>
        <xdr:cNvPr id="5" name="ScenarioCompariso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BC Theme">
  <a:themeElements>
    <a:clrScheme name="IBC (Fall 2018)">
      <a:dk1>
        <a:srgbClr val="13284B"/>
      </a:dk1>
      <a:lt1>
        <a:srgbClr val="FFFFFF"/>
      </a:lt1>
      <a:dk2>
        <a:srgbClr val="13284B"/>
      </a:dk2>
      <a:lt2>
        <a:srgbClr val="FFFFFF"/>
      </a:lt2>
      <a:accent1>
        <a:srgbClr val="13284B"/>
      </a:accent1>
      <a:accent2>
        <a:srgbClr val="E84927"/>
      </a:accent2>
      <a:accent3>
        <a:srgbClr val="336FCA"/>
      </a:accent3>
      <a:accent4>
        <a:srgbClr val="838383"/>
      </a:accent4>
      <a:accent5>
        <a:srgbClr val="ADADAD"/>
      </a:accent5>
      <a:accent6>
        <a:srgbClr val="D6D6D6"/>
      </a:accent6>
      <a:hlink>
        <a:srgbClr val="E84927"/>
      </a:hlink>
      <a:folHlink>
        <a:srgbClr val="E84927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chemeClr val="tx1"/>
          </a:solidFill>
        </a:ln>
        <a:effectLst/>
      </a:spPr>
      <a:bodyPr rot="0" spcFirstLastPara="0" vertOverflow="overflow" horzOverflow="overflow" vert="horz" wrap="square" lIns="91440" tIns="91440" rIns="91440" bIns="9144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100" dirty="0">
            <a:solidFill>
              <a:schemeClr val="tx1"/>
            </a:solidFill>
          </a:defRPr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  <a:ln>
          <a:solidFill>
            <a:schemeClr val="tx1"/>
          </a:solidFill>
        </a:ln>
      </a:spPr>
      <a:bodyPr wrap="square" tIns="91440" bIns="91440" rtlCol="0">
        <a:noAutofit/>
      </a:bodyPr>
      <a:lstStyle>
        <a:defPPr algn="l">
          <a:defRPr sz="1100"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IBC Theme" id="{FD20A2F1-1781-074E-B046-BDA3F4117641}" vid="{053DACDE-E045-0141-BD4C-F7B63A7C5E6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B2A8-A056-B388-96A8-93177E03F2A8}">
  <dimension ref="A2:O87"/>
  <sheetViews>
    <sheetView showGridLines="0" topLeftCell="A3" zoomScale="62" workbookViewId="0">
      <selection activeCell="V35" sqref="V35"/>
    </sheetView>
  </sheetViews>
  <sheetFormatPr baseColWidth="10" defaultColWidth="9.1640625" defaultRowHeight="14" customHeight="1" x14ac:dyDescent="0.15"/>
  <cols>
    <col min="1" max="1" width="8.6640625" style="6" customWidth="1"/>
    <col min="2" max="2" width="10" style="6" customWidth="1"/>
    <col min="3" max="3" width="11" style="6" customWidth="1"/>
    <col min="4" max="5" width="11.6640625" style="6" customWidth="1"/>
    <col min="6" max="6" width="18.33203125" style="6" customWidth="1"/>
    <col min="7" max="7" width="8.6640625" style="6" customWidth="1"/>
    <col min="8" max="8" width="10" style="6" customWidth="1"/>
    <col min="9" max="9" width="10.5" style="6" customWidth="1"/>
    <col min="10" max="10" width="11" style="6" customWidth="1"/>
    <col min="11" max="11" width="10.1640625" style="6" customWidth="1"/>
    <col min="12" max="12" width="10.5" style="6" customWidth="1"/>
    <col min="13" max="13" width="11" style="6" customWidth="1"/>
    <col min="14" max="14" width="10.1640625" style="6" customWidth="1"/>
    <col min="15" max="15" width="17.5" style="6" customWidth="1"/>
    <col min="16" max="16" width="8.6640625" customWidth="1"/>
  </cols>
  <sheetData>
    <row r="2" spans="2:13" ht="18" customHeight="1" x14ac:dyDescent="0.15">
      <c r="C2" s="75" t="s">
        <v>0</v>
      </c>
      <c r="D2" s="75"/>
      <c r="E2" s="75"/>
    </row>
    <row r="3" spans="2:13" ht="14.25" customHeight="1" x14ac:dyDescent="0.15">
      <c r="B3" s="79" t="s">
        <v>1</v>
      </c>
      <c r="C3" s="79"/>
      <c r="D3" s="79"/>
      <c r="E3" s="79"/>
      <c r="F3" s="79"/>
    </row>
    <row r="4" spans="2:13" ht="14.25" customHeight="1" x14ac:dyDescent="0.15">
      <c r="B4" s="79"/>
      <c r="C4" s="79"/>
      <c r="D4" s="79"/>
      <c r="E4" s="79"/>
      <c r="F4" s="79"/>
    </row>
    <row r="5" spans="2:13" ht="15" customHeight="1" x14ac:dyDescent="0.15">
      <c r="B5" s="1" t="s">
        <v>2</v>
      </c>
      <c r="C5" s="1" t="s">
        <v>3</v>
      </c>
      <c r="D5" s="1" t="s">
        <v>4</v>
      </c>
      <c r="E5" s="2" t="s">
        <v>5</v>
      </c>
      <c r="F5" s="2" t="s">
        <v>6</v>
      </c>
      <c r="H5" s="80" t="s">
        <v>7</v>
      </c>
      <c r="I5" s="80"/>
      <c r="J5" s="3" t="s">
        <v>8</v>
      </c>
      <c r="K5" s="3"/>
      <c r="L5" s="3"/>
      <c r="M5" s="3"/>
    </row>
    <row r="6" spans="2:13" ht="15" customHeight="1" x14ac:dyDescent="0.15">
      <c r="B6" s="72">
        <v>2025</v>
      </c>
      <c r="C6" s="5" t="s">
        <v>9</v>
      </c>
      <c r="D6" s="6">
        <v>99</v>
      </c>
      <c r="E6" s="72">
        <f t="shared" ref="E6:N56" si="0">AVERAGE(D6:D7)</f>
        <v>111.5</v>
      </c>
      <c r="F6" s="69">
        <f t="shared" ref="F6:O54" si="1">(E6/E8)-1</f>
        <v>-3.4632034632034681E-2</v>
      </c>
    </row>
    <row r="7" spans="2:13" ht="15" customHeight="1" x14ac:dyDescent="0.15">
      <c r="B7" s="72"/>
      <c r="C7" s="5" t="s">
        <v>10</v>
      </c>
      <c r="D7" s="6">
        <v>124</v>
      </c>
      <c r="E7" s="72"/>
      <c r="F7" s="69"/>
    </row>
    <row r="8" spans="2:13" ht="15" customHeight="1" x14ac:dyDescent="0.15">
      <c r="B8" s="72">
        <v>2024</v>
      </c>
      <c r="C8" s="5" t="s">
        <v>9</v>
      </c>
      <c r="D8" s="6">
        <v>129</v>
      </c>
      <c r="E8" s="72">
        <f t="shared" si="0"/>
        <v>115.5</v>
      </c>
      <c r="F8" s="69">
        <f t="shared" si="1"/>
        <v>0.35882352941176476</v>
      </c>
    </row>
    <row r="9" spans="2:13" ht="15" customHeight="1" x14ac:dyDescent="0.15">
      <c r="B9" s="72"/>
      <c r="C9" s="5" t="s">
        <v>10</v>
      </c>
      <c r="D9" s="6">
        <v>102</v>
      </c>
      <c r="E9" s="72"/>
      <c r="F9" s="69"/>
    </row>
    <row r="10" spans="2:13" ht="15" customHeight="1" x14ac:dyDescent="0.15">
      <c r="B10" s="72">
        <v>2023</v>
      </c>
      <c r="C10" s="5" t="s">
        <v>9</v>
      </c>
      <c r="D10" s="6">
        <v>104</v>
      </c>
      <c r="E10" s="72">
        <f t="shared" si="0"/>
        <v>85</v>
      </c>
      <c r="F10" s="69">
        <f t="shared" si="1"/>
        <v>0.1258278145695364</v>
      </c>
    </row>
    <row r="11" spans="2:13" ht="15" customHeight="1" x14ac:dyDescent="0.15">
      <c r="B11" s="72"/>
      <c r="C11" s="5" t="s">
        <v>10</v>
      </c>
      <c r="D11" s="6">
        <v>66</v>
      </c>
      <c r="E11" s="72"/>
      <c r="F11" s="69"/>
    </row>
    <row r="12" spans="2:13" ht="15" customHeight="1" x14ac:dyDescent="0.15">
      <c r="B12" s="72">
        <v>2022</v>
      </c>
      <c r="C12" s="5" t="s">
        <v>9</v>
      </c>
      <c r="D12" s="6">
        <v>99</v>
      </c>
      <c r="E12" s="72">
        <f t="shared" si="0"/>
        <v>75.5</v>
      </c>
      <c r="F12" s="69">
        <f t="shared" si="1"/>
        <v>1.9038461538461537</v>
      </c>
    </row>
    <row r="13" spans="2:13" ht="15" customHeight="1" x14ac:dyDescent="0.15">
      <c r="B13" s="72"/>
      <c r="C13" s="5" t="s">
        <v>10</v>
      </c>
      <c r="D13" s="6">
        <v>52</v>
      </c>
      <c r="E13" s="72"/>
      <c r="F13" s="69"/>
    </row>
    <row r="14" spans="2:13" ht="15" customHeight="1" x14ac:dyDescent="0.15">
      <c r="B14" s="4">
        <v>2021</v>
      </c>
      <c r="C14" s="5" t="s">
        <v>9</v>
      </c>
      <c r="D14" s="6">
        <v>26</v>
      </c>
      <c r="E14" s="4">
        <f>AVERAGE(D14:D18)</f>
        <v>26</v>
      </c>
      <c r="F14" s="70" t="s">
        <v>11</v>
      </c>
    </row>
    <row r="15" spans="2:13" ht="14.25" customHeight="1" x14ac:dyDescent="0.15">
      <c r="B15" s="4"/>
      <c r="C15" s="5"/>
      <c r="E15" s="7"/>
      <c r="F15" s="69"/>
    </row>
    <row r="16" spans="2:13" ht="14.25" customHeight="1" x14ac:dyDescent="0.15">
      <c r="B16" s="4"/>
      <c r="C16" s="5"/>
      <c r="E16" s="7"/>
    </row>
    <row r="17" spans="2:14" ht="14.25" customHeight="1" x14ac:dyDescent="0.15">
      <c r="B17" s="4"/>
      <c r="C17" s="5"/>
      <c r="E17" s="7"/>
    </row>
    <row r="18" spans="2:14" ht="14.25" customHeight="1" x14ac:dyDescent="0.15">
      <c r="B18" s="4"/>
      <c r="C18" s="5"/>
      <c r="E18" s="7"/>
    </row>
    <row r="19" spans="2:14" ht="18" customHeight="1" x14ac:dyDescent="0.2">
      <c r="C19" s="78" t="s">
        <v>12</v>
      </c>
      <c r="D19" s="78"/>
      <c r="E19" s="78"/>
    </row>
    <row r="20" spans="2:14" ht="14.25" customHeight="1" x14ac:dyDescent="0.15">
      <c r="B20" s="79" t="s">
        <v>13</v>
      </c>
      <c r="C20" s="79"/>
      <c r="D20" s="79"/>
      <c r="E20" s="79"/>
      <c r="F20" s="79"/>
    </row>
    <row r="21" spans="2:14" ht="14.25" customHeight="1" x14ac:dyDescent="0.15">
      <c r="B21" s="79"/>
      <c r="C21" s="79"/>
      <c r="D21" s="79"/>
      <c r="E21" s="79"/>
      <c r="F21" s="79"/>
    </row>
    <row r="22" spans="2:14" ht="15" customHeight="1" x14ac:dyDescent="0.15">
      <c r="B22" s="1" t="s">
        <v>2</v>
      </c>
      <c r="C22" s="1" t="s">
        <v>3</v>
      </c>
      <c r="D22" s="1" t="s">
        <v>4</v>
      </c>
      <c r="E22" s="2" t="s">
        <v>5</v>
      </c>
      <c r="F22" s="2" t="s">
        <v>6</v>
      </c>
      <c r="H22" s="80" t="s">
        <v>7</v>
      </c>
      <c r="I22" s="80"/>
      <c r="J22" s="3" t="s">
        <v>14</v>
      </c>
      <c r="K22" s="3"/>
      <c r="L22" s="3"/>
      <c r="M22" s="3"/>
      <c r="N22" s="3"/>
    </row>
    <row r="23" spans="2:14" ht="15" customHeight="1" x14ac:dyDescent="0.15">
      <c r="B23" s="72">
        <v>2025</v>
      </c>
      <c r="C23" s="5" t="s">
        <v>9</v>
      </c>
      <c r="D23" s="6">
        <v>308</v>
      </c>
      <c r="E23" s="72">
        <f t="shared" si="0"/>
        <v>285</v>
      </c>
      <c r="F23" s="69">
        <f t="shared" si="1"/>
        <v>9.1954022988505857E-2</v>
      </c>
    </row>
    <row r="24" spans="2:14" ht="15" customHeight="1" x14ac:dyDescent="0.15">
      <c r="B24" s="72"/>
      <c r="C24" s="5" t="s">
        <v>10</v>
      </c>
      <c r="D24" s="6">
        <v>262</v>
      </c>
      <c r="E24" s="72"/>
      <c r="F24" s="69"/>
    </row>
    <row r="25" spans="2:14" ht="15" customHeight="1" x14ac:dyDescent="0.15">
      <c r="B25" s="72">
        <v>2024</v>
      </c>
      <c r="C25" s="5" t="s">
        <v>9</v>
      </c>
      <c r="D25" s="6">
        <v>251</v>
      </c>
      <c r="E25" s="72">
        <f t="shared" si="0"/>
        <v>261</v>
      </c>
      <c r="F25" s="69">
        <f t="shared" si="1"/>
        <v>1.3097345132743361</v>
      </c>
    </row>
    <row r="26" spans="2:14" ht="15" customHeight="1" x14ac:dyDescent="0.15">
      <c r="B26" s="72"/>
      <c r="C26" s="5" t="s">
        <v>10</v>
      </c>
      <c r="D26" s="6">
        <v>271</v>
      </c>
      <c r="E26" s="72"/>
      <c r="F26" s="69"/>
    </row>
    <row r="27" spans="2:14" ht="15" customHeight="1" x14ac:dyDescent="0.15">
      <c r="B27" s="4">
        <v>2023</v>
      </c>
      <c r="C27" s="5" t="s">
        <v>9</v>
      </c>
      <c r="D27" s="6">
        <v>113</v>
      </c>
      <c r="E27" s="72">
        <f t="shared" si="0"/>
        <v>113</v>
      </c>
      <c r="F27" s="70" t="s">
        <v>11</v>
      </c>
    </row>
    <row r="28" spans="2:14" ht="14.25" customHeight="1" x14ac:dyDescent="0.15">
      <c r="B28" s="1"/>
      <c r="E28" s="72"/>
      <c r="F28" s="69"/>
    </row>
    <row r="29" spans="2:14" ht="14.25" customHeight="1" x14ac:dyDescent="0.15">
      <c r="E29" s="4"/>
    </row>
    <row r="30" spans="2:14" ht="14.25" customHeight="1" x14ac:dyDescent="0.15">
      <c r="E30" s="4"/>
    </row>
    <row r="31" spans="2:14" ht="14.25" customHeight="1" x14ac:dyDescent="0.15">
      <c r="E31" s="4"/>
    </row>
    <row r="32" spans="2:14" ht="14.25" customHeight="1" x14ac:dyDescent="0.15">
      <c r="E32" s="4"/>
    </row>
    <row r="33" spans="2:15" ht="14.25" customHeight="1" x14ac:dyDescent="0.15"/>
    <row r="34" spans="2:15" ht="14.25" customHeight="1" x14ac:dyDescent="0.15"/>
    <row r="35" spans="2:15" ht="14.25" customHeight="1" x14ac:dyDescent="0.15">
      <c r="G35" s="76" t="s">
        <v>15</v>
      </c>
      <c r="H35" s="76"/>
      <c r="I35" s="8"/>
    </row>
    <row r="36" spans="2:15" ht="18" customHeight="1" x14ac:dyDescent="0.15">
      <c r="C36" s="75" t="s">
        <v>16</v>
      </c>
      <c r="D36" s="75"/>
      <c r="E36" s="75"/>
      <c r="G36" s="76"/>
      <c r="H36" s="76"/>
      <c r="I36" s="9"/>
      <c r="L36" s="75" t="s">
        <v>17</v>
      </c>
      <c r="M36" s="75"/>
      <c r="N36" s="75"/>
    </row>
    <row r="37" spans="2:15" ht="14.25" customHeight="1" x14ac:dyDescent="0.15">
      <c r="B37" s="73" t="s">
        <v>18</v>
      </c>
      <c r="C37" s="73"/>
      <c r="D37" s="73"/>
      <c r="E37" s="73"/>
      <c r="F37" s="74"/>
      <c r="G37" s="76"/>
      <c r="H37" s="76"/>
      <c r="I37" s="9"/>
      <c r="K37" s="73" t="s">
        <v>19</v>
      </c>
      <c r="L37" s="73"/>
      <c r="M37" s="73"/>
      <c r="N37" s="73"/>
      <c r="O37" s="73"/>
    </row>
    <row r="38" spans="2:15" ht="14.25" customHeight="1" x14ac:dyDescent="0.15">
      <c r="B38" s="73"/>
      <c r="C38" s="73"/>
      <c r="D38" s="73"/>
      <c r="E38" s="73"/>
      <c r="F38" s="74"/>
      <c r="G38" s="76"/>
      <c r="H38" s="76"/>
      <c r="I38" s="8"/>
      <c r="K38" s="73"/>
      <c r="L38" s="73"/>
      <c r="M38" s="73"/>
      <c r="N38" s="73"/>
      <c r="O38" s="73"/>
    </row>
    <row r="39" spans="2:15" ht="15" customHeight="1" x14ac:dyDescent="0.15">
      <c r="B39" s="1" t="s">
        <v>2</v>
      </c>
      <c r="C39" s="1" t="s">
        <v>3</v>
      </c>
      <c r="D39" s="1" t="s">
        <v>4</v>
      </c>
      <c r="E39" s="2" t="s">
        <v>5</v>
      </c>
      <c r="F39" s="2" t="s">
        <v>6</v>
      </c>
      <c r="K39" s="1" t="s">
        <v>2</v>
      </c>
      <c r="L39" s="1" t="s">
        <v>3</v>
      </c>
      <c r="M39" s="1" t="s">
        <v>4</v>
      </c>
      <c r="N39" s="2" t="s">
        <v>5</v>
      </c>
      <c r="O39" s="2" t="s">
        <v>6</v>
      </c>
    </row>
    <row r="40" spans="2:15" ht="15" customHeight="1" x14ac:dyDescent="0.15">
      <c r="B40" s="72">
        <v>2016</v>
      </c>
      <c r="C40" s="5" t="s">
        <v>9</v>
      </c>
      <c r="D40" s="10">
        <v>153</v>
      </c>
      <c r="E40" s="72">
        <f t="shared" si="0"/>
        <v>147</v>
      </c>
      <c r="F40" s="69">
        <f t="shared" si="1"/>
        <v>2.7972027972027913E-2</v>
      </c>
      <c r="K40" s="72">
        <v>2025</v>
      </c>
      <c r="L40" s="5" t="s">
        <v>9</v>
      </c>
      <c r="M40">
        <f>173+510+4+1</f>
        <v>688</v>
      </c>
      <c r="N40" s="72">
        <f t="shared" si="0"/>
        <v>656</v>
      </c>
      <c r="O40" s="69">
        <f t="shared" si="1"/>
        <v>0.12908777969018925</v>
      </c>
    </row>
    <row r="41" spans="2:15" ht="15" customHeight="1" x14ac:dyDescent="0.15">
      <c r="B41" s="72"/>
      <c r="C41" s="5" t="s">
        <v>10</v>
      </c>
      <c r="D41" s="10">
        <v>141</v>
      </c>
      <c r="E41" s="72"/>
      <c r="F41" s="69"/>
      <c r="K41" s="72"/>
      <c r="L41" s="5" t="s">
        <v>10</v>
      </c>
      <c r="M41">
        <f>119+453+4+1+47</f>
        <v>624</v>
      </c>
      <c r="N41" s="72"/>
      <c r="O41" s="69"/>
    </row>
    <row r="42" spans="2:15" ht="15" customHeight="1" x14ac:dyDescent="0.15">
      <c r="B42" s="72">
        <v>2015</v>
      </c>
      <c r="C42" s="5" t="s">
        <v>9</v>
      </c>
      <c r="D42">
        <v>143</v>
      </c>
      <c r="E42" s="72">
        <f t="shared" si="0"/>
        <v>143</v>
      </c>
      <c r="F42" s="69">
        <f t="shared" si="1"/>
        <v>0</v>
      </c>
      <c r="K42" s="72">
        <v>2024</v>
      </c>
      <c r="L42" s="5" t="s">
        <v>9</v>
      </c>
      <c r="M42">
        <f>170+442+4+2</f>
        <v>618</v>
      </c>
      <c r="N42" s="72">
        <f t="shared" si="0"/>
        <v>581</v>
      </c>
      <c r="O42" s="69">
        <f t="shared" si="1"/>
        <v>3.7500000000000089E-2</v>
      </c>
    </row>
    <row r="43" spans="2:15" ht="15" customHeight="1" x14ac:dyDescent="0.15">
      <c r="B43" s="72"/>
      <c r="C43" s="5" t="s">
        <v>10</v>
      </c>
      <c r="D43">
        <v>143</v>
      </c>
      <c r="E43" s="72"/>
      <c r="F43" s="69"/>
      <c r="K43" s="72"/>
      <c r="L43" s="5" t="s">
        <v>10</v>
      </c>
      <c r="M43">
        <f>160+376+8</f>
        <v>544</v>
      </c>
      <c r="N43" s="72"/>
      <c r="O43" s="69"/>
    </row>
    <row r="44" spans="2:15" ht="15" customHeight="1" x14ac:dyDescent="0.15">
      <c r="B44" s="72">
        <v>2014</v>
      </c>
      <c r="C44" s="5" t="s">
        <v>9</v>
      </c>
      <c r="D44">
        <v>144</v>
      </c>
      <c r="E44" s="72">
        <f t="shared" si="0"/>
        <v>143</v>
      </c>
      <c r="F44" s="69">
        <f t="shared" si="1"/>
        <v>2.877697841726623E-2</v>
      </c>
      <c r="K44" s="72">
        <v>2023</v>
      </c>
      <c r="L44" s="5" t="s">
        <v>9</v>
      </c>
      <c r="M44">
        <f>162+383+4+14</f>
        <v>563</v>
      </c>
      <c r="N44" s="72">
        <f t="shared" si="0"/>
        <v>560</v>
      </c>
      <c r="O44" s="69">
        <f t="shared" si="1"/>
        <v>-0.16230366492146597</v>
      </c>
    </row>
    <row r="45" spans="2:15" ht="15" customHeight="1" x14ac:dyDescent="0.15">
      <c r="B45" s="72"/>
      <c r="C45" s="5" t="s">
        <v>10</v>
      </c>
      <c r="D45">
        <v>142</v>
      </c>
      <c r="E45" s="72"/>
      <c r="F45" s="69"/>
      <c r="K45" s="72"/>
      <c r="L45" s="5" t="s">
        <v>10</v>
      </c>
      <c r="M45">
        <f>90+407+2+56+2</f>
        <v>557</v>
      </c>
      <c r="N45" s="72"/>
      <c r="O45" s="69"/>
    </row>
    <row r="46" spans="2:15" ht="15" customHeight="1" x14ac:dyDescent="0.15">
      <c r="B46" s="72">
        <v>2013</v>
      </c>
      <c r="C46" s="5" t="s">
        <v>9</v>
      </c>
      <c r="D46">
        <v>142</v>
      </c>
      <c r="E46" s="72">
        <f t="shared" si="0"/>
        <v>139</v>
      </c>
      <c r="F46" s="69">
        <f t="shared" si="1"/>
        <v>-3.472222222222221E-2</v>
      </c>
      <c r="K46" s="72">
        <v>2022</v>
      </c>
      <c r="L46" s="5" t="s">
        <v>9</v>
      </c>
      <c r="M46">
        <f>150+468+3+7</f>
        <v>628</v>
      </c>
      <c r="N46" s="72">
        <f t="shared" si="0"/>
        <v>668.5</v>
      </c>
      <c r="O46" s="69">
        <f t="shared" si="1"/>
        <v>3.0007501875468634E-3</v>
      </c>
    </row>
    <row r="47" spans="2:15" ht="15" customHeight="1" x14ac:dyDescent="0.15">
      <c r="B47" s="72"/>
      <c r="C47" s="5" t="s">
        <v>10</v>
      </c>
      <c r="D47">
        <v>136</v>
      </c>
      <c r="E47" s="72"/>
      <c r="F47" s="69"/>
      <c r="K47" s="72"/>
      <c r="L47" s="5" t="s">
        <v>10</v>
      </c>
      <c r="M47">
        <f>190+514+1+4</f>
        <v>709</v>
      </c>
      <c r="N47" s="72"/>
      <c r="O47" s="69"/>
    </row>
    <row r="48" spans="2:15" ht="15" customHeight="1" x14ac:dyDescent="0.15">
      <c r="B48" s="72">
        <v>2012</v>
      </c>
      <c r="C48" s="5" t="s">
        <v>9</v>
      </c>
      <c r="D48">
        <v>142</v>
      </c>
      <c r="E48" s="72">
        <f t="shared" si="0"/>
        <v>144</v>
      </c>
      <c r="F48" s="69">
        <f t="shared" si="1"/>
        <v>7.0631970260222943E-2</v>
      </c>
      <c r="K48" s="72">
        <v>2021</v>
      </c>
      <c r="L48" s="5" t="s">
        <v>9</v>
      </c>
      <c r="M48">
        <f>205+539+1+6</f>
        <v>751</v>
      </c>
      <c r="N48" s="72">
        <f t="shared" si="0"/>
        <v>666.5</v>
      </c>
      <c r="O48" s="69">
        <f t="shared" si="1"/>
        <v>0.25992438563327025</v>
      </c>
    </row>
    <row r="49" spans="2:15" ht="15" customHeight="1" x14ac:dyDescent="0.15">
      <c r="B49" s="72"/>
      <c r="C49" s="5" t="s">
        <v>10</v>
      </c>
      <c r="D49">
        <v>146</v>
      </c>
      <c r="E49" s="72"/>
      <c r="F49" s="69"/>
      <c r="K49" s="72"/>
      <c r="L49" s="5" t="s">
        <v>10</v>
      </c>
      <c r="M49">
        <f>56+503+23</f>
        <v>582</v>
      </c>
      <c r="N49" s="72"/>
      <c r="O49" s="69"/>
    </row>
    <row r="50" spans="2:15" ht="15" customHeight="1" x14ac:dyDescent="0.15">
      <c r="B50" s="72">
        <v>2011</v>
      </c>
      <c r="C50" s="5" t="s">
        <v>9</v>
      </c>
      <c r="D50">
        <v>136</v>
      </c>
      <c r="E50" s="72">
        <f t="shared" si="0"/>
        <v>134.5</v>
      </c>
      <c r="F50" s="69">
        <f t="shared" si="1"/>
        <v>2.6717557251908497E-2</v>
      </c>
      <c r="K50" s="72">
        <v>2020</v>
      </c>
      <c r="L50" s="5" t="s">
        <v>9</v>
      </c>
      <c r="M50">
        <f>68+454+8</f>
        <v>530</v>
      </c>
      <c r="N50" s="72">
        <f t="shared" si="0"/>
        <v>529</v>
      </c>
      <c r="O50" s="69">
        <f t="shared" si="1"/>
        <v>0.16519823788546262</v>
      </c>
    </row>
    <row r="51" spans="2:15" ht="15" customHeight="1" x14ac:dyDescent="0.15">
      <c r="B51" s="72"/>
      <c r="C51" s="5" t="s">
        <v>10</v>
      </c>
      <c r="D51">
        <v>133</v>
      </c>
      <c r="E51" s="72"/>
      <c r="F51" s="69"/>
      <c r="K51" s="72"/>
      <c r="L51" s="5" t="s">
        <v>10</v>
      </c>
      <c r="M51">
        <f>116+330+82</f>
        <v>528</v>
      </c>
      <c r="N51" s="72"/>
      <c r="O51" s="69"/>
    </row>
    <row r="52" spans="2:15" ht="15" customHeight="1" x14ac:dyDescent="0.15">
      <c r="B52" s="72">
        <v>2010</v>
      </c>
      <c r="C52" s="5" t="s">
        <v>9</v>
      </c>
      <c r="D52">
        <v>137</v>
      </c>
      <c r="E52" s="72">
        <f t="shared" si="0"/>
        <v>131</v>
      </c>
      <c r="F52" s="70" t="s">
        <v>11</v>
      </c>
      <c r="K52" s="72">
        <v>2019</v>
      </c>
      <c r="L52" s="5" t="s">
        <v>9</v>
      </c>
      <c r="M52">
        <f>199+303</f>
        <v>502</v>
      </c>
      <c r="N52" s="72">
        <f t="shared" si="0"/>
        <v>454</v>
      </c>
      <c r="O52" s="69">
        <f t="shared" si="1"/>
        <v>0.5818815331010454</v>
      </c>
    </row>
    <row r="53" spans="2:15" ht="15" customHeight="1" x14ac:dyDescent="0.15">
      <c r="B53" s="72"/>
      <c r="C53" s="5" t="s">
        <v>10</v>
      </c>
      <c r="D53">
        <f>121+4</f>
        <v>125</v>
      </c>
      <c r="E53" s="72"/>
      <c r="F53" s="69"/>
      <c r="K53" s="72"/>
      <c r="L53" s="5" t="s">
        <v>10</v>
      </c>
      <c r="M53">
        <f>173+233</f>
        <v>406</v>
      </c>
      <c r="N53" s="72"/>
      <c r="O53" s="69"/>
    </row>
    <row r="54" spans="2:15" ht="15" customHeight="1" x14ac:dyDescent="0.15">
      <c r="C54" s="5"/>
      <c r="K54" s="72">
        <v>2018</v>
      </c>
      <c r="L54" s="5" t="s">
        <v>9</v>
      </c>
      <c r="M54">
        <f>173+173</f>
        <v>346</v>
      </c>
      <c r="N54" s="72">
        <f t="shared" si="0"/>
        <v>287</v>
      </c>
      <c r="O54" s="69">
        <f t="shared" si="1"/>
        <v>0.4137931034482758</v>
      </c>
    </row>
    <row r="55" spans="2:15" ht="15" customHeight="1" x14ac:dyDescent="0.15">
      <c r="C55" s="5"/>
      <c r="K55" s="72"/>
      <c r="L55" s="5" t="s">
        <v>10</v>
      </c>
      <c r="M55">
        <f>122+87+19</f>
        <v>228</v>
      </c>
      <c r="N55" s="72"/>
      <c r="O55" s="69"/>
    </row>
    <row r="56" spans="2:15" ht="15" customHeight="1" x14ac:dyDescent="0.15">
      <c r="C56" s="5"/>
      <c r="K56" s="72">
        <v>2017</v>
      </c>
      <c r="L56" s="5" t="s">
        <v>9</v>
      </c>
      <c r="M56">
        <f>142+29</f>
        <v>171</v>
      </c>
      <c r="N56" s="72">
        <f t="shared" si="0"/>
        <v>203</v>
      </c>
      <c r="O56" s="70" t="s">
        <v>11</v>
      </c>
    </row>
    <row r="57" spans="2:15" ht="15" customHeight="1" x14ac:dyDescent="0.15">
      <c r="C57" s="5"/>
      <c r="K57" s="72"/>
      <c r="L57" s="5" t="s">
        <v>10</v>
      </c>
      <c r="M57">
        <v>235</v>
      </c>
      <c r="N57" s="72"/>
      <c r="O57" s="69"/>
    </row>
    <row r="58" spans="2:15" ht="16.5" customHeight="1" x14ac:dyDescent="0.15">
      <c r="B58" s="11"/>
      <c r="C58" s="11"/>
      <c r="D58" s="11"/>
      <c r="E58" s="11"/>
      <c r="F58" s="11"/>
      <c r="G58" s="11"/>
      <c r="H58" s="11"/>
      <c r="I58" s="11"/>
      <c r="J58" s="11"/>
      <c r="K58" s="71"/>
      <c r="L58" s="12"/>
      <c r="M58" s="13"/>
      <c r="N58" s="71"/>
      <c r="O58" s="67"/>
    </row>
    <row r="59" spans="2:15" ht="16.5" customHeight="1" x14ac:dyDescent="0.15">
      <c r="B59" s="11"/>
      <c r="C59" s="11"/>
      <c r="D59" s="11"/>
      <c r="E59" s="11"/>
      <c r="F59" s="11"/>
      <c r="G59" s="11"/>
      <c r="H59" s="11"/>
      <c r="I59" s="11"/>
      <c r="J59" s="11"/>
      <c r="K59" s="71"/>
      <c r="L59" s="12"/>
      <c r="M59" s="13"/>
      <c r="N59" s="71"/>
      <c r="O59" s="68"/>
    </row>
    <row r="60" spans="2:15" ht="14.25" customHeight="1" x14ac:dyDescent="0.15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spans="2:15" ht="14.25" customHeight="1" x14ac:dyDescent="0.15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2:15" ht="14.25" customHeight="1" x14ac:dyDescent="0.15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spans="2:15" ht="14.25" customHeight="1" x14ac:dyDescent="0.15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spans="2:15" ht="14.25" customHeight="1" x14ac:dyDescent="0.15">
      <c r="B64" s="11"/>
      <c r="C64" s="11"/>
      <c r="D64" s="11"/>
      <c r="E64" s="11"/>
      <c r="F64" s="11"/>
      <c r="G64" s="11"/>
      <c r="H64" s="11"/>
      <c r="I64" s="14"/>
      <c r="J64" s="11"/>
      <c r="K64" s="11"/>
      <c r="L64" s="77"/>
      <c r="M64" s="77"/>
      <c r="N64" s="77"/>
      <c r="O64" s="11"/>
    </row>
    <row r="65" spans="2:15" ht="14.25" customHeight="1" x14ac:dyDescent="0.15">
      <c r="B65" s="11"/>
      <c r="C65" s="11"/>
      <c r="D65" s="11"/>
      <c r="E65" s="11"/>
      <c r="F65" s="11"/>
      <c r="G65" s="11"/>
      <c r="H65" s="11"/>
      <c r="I65" s="14"/>
      <c r="J65" s="11"/>
      <c r="K65" s="71"/>
      <c r="L65" s="71"/>
      <c r="M65" s="71"/>
      <c r="N65" s="71"/>
      <c r="O65" s="71"/>
    </row>
    <row r="66" spans="2:15" ht="14.25" customHeight="1" x14ac:dyDescent="0.15">
      <c r="B66" s="11"/>
      <c r="C66" s="77"/>
      <c r="D66" s="77"/>
      <c r="E66" s="77"/>
      <c r="F66" s="11"/>
      <c r="G66" s="11"/>
      <c r="H66" s="15"/>
      <c r="I66" s="11"/>
      <c r="J66" s="11"/>
      <c r="K66" s="71"/>
      <c r="L66" s="71"/>
      <c r="M66" s="71"/>
      <c r="N66" s="71"/>
      <c r="O66" s="71"/>
    </row>
    <row r="67" spans="2:15" ht="14.25" customHeight="1" x14ac:dyDescent="0.15">
      <c r="B67" s="71"/>
      <c r="C67" s="71"/>
      <c r="D67" s="71"/>
      <c r="E67" s="71"/>
      <c r="F67" s="71"/>
      <c r="G67" s="11"/>
      <c r="H67" s="11"/>
      <c r="I67" s="11"/>
      <c r="J67" s="11"/>
      <c r="K67" s="16"/>
      <c r="L67" s="16"/>
      <c r="M67" s="16"/>
      <c r="N67" s="17"/>
      <c r="O67" s="17"/>
    </row>
    <row r="68" spans="2:15" ht="14.25" customHeight="1" x14ac:dyDescent="0.15">
      <c r="B68" s="71"/>
      <c r="C68" s="71"/>
      <c r="D68" s="71"/>
      <c r="E68" s="71"/>
      <c r="F68" s="71"/>
      <c r="G68" s="11"/>
      <c r="H68" s="11"/>
      <c r="I68" s="11"/>
      <c r="J68" s="11"/>
      <c r="K68" s="71"/>
      <c r="L68" s="12"/>
      <c r="M68" s="13"/>
      <c r="N68" s="71"/>
      <c r="O68" s="68"/>
    </row>
    <row r="69" spans="2:15" ht="14.25" customHeight="1" x14ac:dyDescent="0.15">
      <c r="B69" s="16"/>
      <c r="C69" s="16"/>
      <c r="D69" s="16"/>
      <c r="E69" s="17"/>
      <c r="F69" s="17"/>
      <c r="G69" s="11"/>
      <c r="H69" s="11"/>
      <c r="I69" s="11"/>
      <c r="J69" s="11"/>
      <c r="K69" s="71"/>
      <c r="L69" s="12"/>
      <c r="M69" s="13"/>
      <c r="N69" s="71"/>
      <c r="O69" s="68"/>
    </row>
    <row r="70" spans="2:15" ht="14.25" customHeight="1" x14ac:dyDescent="0.15">
      <c r="B70" s="72"/>
      <c r="C70" s="5"/>
      <c r="D70"/>
      <c r="E70" s="72"/>
      <c r="F70" s="69"/>
      <c r="K70" s="72"/>
      <c r="L70" s="5"/>
      <c r="M70"/>
      <c r="N70" s="72"/>
      <c r="O70" s="69"/>
    </row>
    <row r="71" spans="2:15" ht="14.25" customHeight="1" x14ac:dyDescent="0.15">
      <c r="B71" s="72"/>
      <c r="C71" s="5"/>
      <c r="D71"/>
      <c r="E71" s="72"/>
      <c r="F71" s="69"/>
      <c r="K71" s="72"/>
      <c r="L71" s="5"/>
      <c r="M71"/>
      <c r="N71" s="72"/>
      <c r="O71" s="69"/>
    </row>
    <row r="72" spans="2:15" ht="14.25" customHeight="1" x14ac:dyDescent="0.15">
      <c r="B72" s="72"/>
      <c r="C72" s="5"/>
      <c r="D72"/>
      <c r="E72" s="72"/>
      <c r="F72" s="69"/>
      <c r="K72" s="72"/>
      <c r="L72" s="5"/>
      <c r="M72"/>
      <c r="N72" s="72"/>
      <c r="O72" s="69"/>
    </row>
    <row r="73" spans="2:15" ht="14.25" customHeight="1" x14ac:dyDescent="0.15">
      <c r="B73" s="72"/>
      <c r="C73" s="5"/>
      <c r="D73"/>
      <c r="E73" s="72"/>
      <c r="F73" s="69"/>
      <c r="K73" s="72"/>
      <c r="L73" s="5"/>
      <c r="M73"/>
      <c r="N73" s="72"/>
      <c r="O73" s="69"/>
    </row>
    <row r="74" spans="2:15" ht="14.25" customHeight="1" x14ac:dyDescent="0.15">
      <c r="B74" s="72"/>
      <c r="C74" s="5"/>
      <c r="D74"/>
      <c r="E74" s="72"/>
      <c r="F74" s="69"/>
      <c r="K74" s="72"/>
      <c r="L74" s="5"/>
      <c r="M74"/>
      <c r="N74" s="72"/>
      <c r="O74" s="69"/>
    </row>
    <row r="75" spans="2:15" ht="14.25" customHeight="1" x14ac:dyDescent="0.15">
      <c r="B75" s="72"/>
      <c r="C75" s="5"/>
      <c r="D75"/>
      <c r="E75" s="72"/>
      <c r="F75" s="69"/>
      <c r="K75" s="72"/>
      <c r="L75" s="5"/>
      <c r="M75"/>
      <c r="N75" s="72"/>
      <c r="O75" s="69"/>
    </row>
    <row r="76" spans="2:15" ht="14.25" customHeight="1" x14ac:dyDescent="0.15">
      <c r="B76" s="72"/>
      <c r="C76" s="5"/>
      <c r="D76"/>
      <c r="E76" s="72"/>
      <c r="F76" s="69"/>
      <c r="K76" s="72"/>
      <c r="L76" s="5"/>
      <c r="M76"/>
      <c r="N76" s="72"/>
      <c r="O76" s="69"/>
    </row>
    <row r="77" spans="2:15" ht="14.25" customHeight="1" x14ac:dyDescent="0.15">
      <c r="B77" s="72"/>
      <c r="C77" s="5"/>
      <c r="D77"/>
      <c r="E77" s="72"/>
      <c r="F77" s="69"/>
      <c r="K77" s="72"/>
      <c r="L77" s="5"/>
      <c r="M77"/>
      <c r="N77" s="72"/>
      <c r="O77" s="69"/>
    </row>
    <row r="78" spans="2:15" ht="14.25" customHeight="1" x14ac:dyDescent="0.15">
      <c r="B78" s="72"/>
      <c r="C78" s="5"/>
      <c r="D78"/>
      <c r="E78" s="72"/>
      <c r="F78" s="69"/>
      <c r="K78" s="72"/>
      <c r="L78" s="5"/>
      <c r="M78"/>
      <c r="N78" s="72"/>
      <c r="O78" s="69"/>
    </row>
    <row r="79" spans="2:15" ht="14.25" customHeight="1" x14ac:dyDescent="0.15">
      <c r="B79" s="72"/>
      <c r="C79" s="5"/>
      <c r="D79"/>
      <c r="E79" s="72"/>
      <c r="F79" s="69"/>
      <c r="K79" s="72"/>
      <c r="L79" s="5"/>
      <c r="M79"/>
      <c r="N79" s="72"/>
      <c r="O79" s="69"/>
    </row>
    <row r="80" spans="2:15" ht="14.25" customHeight="1" x14ac:dyDescent="0.15">
      <c r="B80" s="72"/>
      <c r="C80" s="5"/>
      <c r="D80"/>
      <c r="E80" s="72"/>
      <c r="F80" s="70"/>
      <c r="K80" s="72"/>
      <c r="L80" s="5"/>
      <c r="M80"/>
      <c r="N80" s="72"/>
      <c r="O80" s="69"/>
    </row>
    <row r="81" spans="2:15" ht="14.25" customHeight="1" x14ac:dyDescent="0.15">
      <c r="B81" s="72"/>
      <c r="C81" s="5"/>
      <c r="D81"/>
      <c r="E81" s="72"/>
      <c r="F81" s="70"/>
      <c r="K81" s="72"/>
      <c r="L81" s="5"/>
      <c r="M81"/>
      <c r="N81" s="72"/>
      <c r="O81" s="69"/>
    </row>
    <row r="82" spans="2:15" ht="14.25" customHeight="1" x14ac:dyDescent="0.15">
      <c r="C82" s="5"/>
      <c r="K82" s="72"/>
      <c r="L82" s="5"/>
      <c r="M82"/>
      <c r="N82" s="72"/>
      <c r="O82" s="69"/>
    </row>
    <row r="83" spans="2:15" ht="14.25" customHeight="1" x14ac:dyDescent="0.15">
      <c r="C83" s="5"/>
      <c r="K83" s="72"/>
      <c r="L83" s="5"/>
      <c r="M83"/>
      <c r="N83" s="72"/>
      <c r="O83" s="69"/>
    </row>
    <row r="84" spans="2:15" ht="14.25" customHeight="1" x14ac:dyDescent="0.15">
      <c r="C84" s="5"/>
      <c r="K84" s="72"/>
      <c r="L84" s="5"/>
      <c r="M84"/>
      <c r="N84" s="72"/>
      <c r="O84" s="69"/>
    </row>
    <row r="85" spans="2:15" ht="14.25" customHeight="1" x14ac:dyDescent="0.15">
      <c r="C85" s="5"/>
      <c r="K85" s="72"/>
      <c r="L85" s="5"/>
      <c r="M85"/>
      <c r="N85" s="72"/>
      <c r="O85" s="69"/>
    </row>
    <row r="86" spans="2:15" ht="14.25" customHeight="1" x14ac:dyDescent="0.15">
      <c r="K86" s="72"/>
      <c r="L86" s="5"/>
      <c r="M86"/>
      <c r="N86" s="72"/>
      <c r="O86" s="70"/>
    </row>
    <row r="87" spans="2:15" ht="14.25" customHeight="1" x14ac:dyDescent="0.15">
      <c r="K87" s="72"/>
      <c r="L87" s="5"/>
      <c r="M87"/>
      <c r="N87" s="72"/>
      <c r="O87" s="70"/>
    </row>
  </sheetData>
  <mergeCells count="135">
    <mergeCell ref="K86:K87"/>
    <mergeCell ref="N86:N87"/>
    <mergeCell ref="O86:O87"/>
    <mergeCell ref="K80:K81"/>
    <mergeCell ref="N80:N81"/>
    <mergeCell ref="O80:O81"/>
    <mergeCell ref="K82:K83"/>
    <mergeCell ref="N82:N83"/>
    <mergeCell ref="O82:O83"/>
    <mergeCell ref="O78:O79"/>
    <mergeCell ref="B78:B79"/>
    <mergeCell ref="E78:E79"/>
    <mergeCell ref="F78:F79"/>
    <mergeCell ref="K84:K85"/>
    <mergeCell ref="N84:N85"/>
    <mergeCell ref="O84:O85"/>
    <mergeCell ref="B80:B81"/>
    <mergeCell ref="E80:E81"/>
    <mergeCell ref="F80:F81"/>
    <mergeCell ref="K78:K79"/>
    <mergeCell ref="N78:N79"/>
    <mergeCell ref="B76:B77"/>
    <mergeCell ref="E76:E77"/>
    <mergeCell ref="F76:F77"/>
    <mergeCell ref="K74:K75"/>
    <mergeCell ref="N74:N75"/>
    <mergeCell ref="O74:O75"/>
    <mergeCell ref="B74:B75"/>
    <mergeCell ref="E74:E75"/>
    <mergeCell ref="F74:F75"/>
    <mergeCell ref="O76:O77"/>
    <mergeCell ref="K76:K77"/>
    <mergeCell ref="N76:N77"/>
    <mergeCell ref="O70:O71"/>
    <mergeCell ref="B70:B71"/>
    <mergeCell ref="E70:E71"/>
    <mergeCell ref="F70:F71"/>
    <mergeCell ref="K68:K69"/>
    <mergeCell ref="N68:N69"/>
    <mergeCell ref="B72:B73"/>
    <mergeCell ref="E72:E73"/>
    <mergeCell ref="F72:F73"/>
    <mergeCell ref="K70:K71"/>
    <mergeCell ref="N70:N71"/>
    <mergeCell ref="O72:O73"/>
    <mergeCell ref="K72:K73"/>
    <mergeCell ref="N72:N73"/>
    <mergeCell ref="B3:F4"/>
    <mergeCell ref="C2:E2"/>
    <mergeCell ref="H5:I5"/>
    <mergeCell ref="H22:I22"/>
    <mergeCell ref="E6:E7"/>
    <mergeCell ref="E8:E9"/>
    <mergeCell ref="E10:E11"/>
    <mergeCell ref="E12:E13"/>
    <mergeCell ref="B6:B7"/>
    <mergeCell ref="B8:B9"/>
    <mergeCell ref="B10:B11"/>
    <mergeCell ref="B12:B13"/>
    <mergeCell ref="F6:F7"/>
    <mergeCell ref="F8:F9"/>
    <mergeCell ref="F10:F11"/>
    <mergeCell ref="F12:F13"/>
    <mergeCell ref="F14:F15"/>
    <mergeCell ref="C66:E66"/>
    <mergeCell ref="L64:N64"/>
    <mergeCell ref="B67:F68"/>
    <mergeCell ref="K65:O66"/>
    <mergeCell ref="C19:E19"/>
    <mergeCell ref="B25:B26"/>
    <mergeCell ref="B42:B43"/>
    <mergeCell ref="B46:B47"/>
    <mergeCell ref="O68:O69"/>
    <mergeCell ref="O40:O41"/>
    <mergeCell ref="O42:O43"/>
    <mergeCell ref="O44:O45"/>
    <mergeCell ref="F23:F24"/>
    <mergeCell ref="F25:F26"/>
    <mergeCell ref="F27:F28"/>
    <mergeCell ref="B20:F21"/>
    <mergeCell ref="E23:E24"/>
    <mergeCell ref="E25:E26"/>
    <mergeCell ref="E27:E28"/>
    <mergeCell ref="N40:N41"/>
    <mergeCell ref="B23:B24"/>
    <mergeCell ref="E42:E43"/>
    <mergeCell ref="B44:B45"/>
    <mergeCell ref="C36:E36"/>
    <mergeCell ref="N42:N43"/>
    <mergeCell ref="N44:N45"/>
    <mergeCell ref="K37:O38"/>
    <mergeCell ref="L36:N36"/>
    <mergeCell ref="O54:O55"/>
    <mergeCell ref="O56:O57"/>
    <mergeCell ref="N46:N47"/>
    <mergeCell ref="G35:H38"/>
    <mergeCell ref="K40:K41"/>
    <mergeCell ref="K42:K43"/>
    <mergeCell ref="K44:K45"/>
    <mergeCell ref="B37:F38"/>
    <mergeCell ref="B50:B51"/>
    <mergeCell ref="B48:B49"/>
    <mergeCell ref="B40:B41"/>
    <mergeCell ref="B52:B53"/>
    <mergeCell ref="E52:E53"/>
    <mergeCell ref="F42:F43"/>
    <mergeCell ref="F44:F45"/>
    <mergeCell ref="K46:K47"/>
    <mergeCell ref="K48:K49"/>
    <mergeCell ref="K50:K51"/>
    <mergeCell ref="K52:K53"/>
    <mergeCell ref="E40:E41"/>
    <mergeCell ref="F40:F41"/>
    <mergeCell ref="E44:E45"/>
    <mergeCell ref="E46:E47"/>
    <mergeCell ref="E48:E49"/>
    <mergeCell ref="E50:E51"/>
    <mergeCell ref="O58:O59"/>
    <mergeCell ref="F46:F47"/>
    <mergeCell ref="F48:F49"/>
    <mergeCell ref="F50:F51"/>
    <mergeCell ref="F52:F53"/>
    <mergeCell ref="O50:O51"/>
    <mergeCell ref="N58:N59"/>
    <mergeCell ref="N48:N49"/>
    <mergeCell ref="N50:N51"/>
    <mergeCell ref="N52:N53"/>
    <mergeCell ref="N54:N55"/>
    <mergeCell ref="N56:N57"/>
    <mergeCell ref="K56:K57"/>
    <mergeCell ref="O46:O47"/>
    <mergeCell ref="O48:O49"/>
    <mergeCell ref="O52:O53"/>
    <mergeCell ref="K58:K59"/>
    <mergeCell ref="K54:K55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197A-B5AE-6B38-7A18-3A344546377F}">
  <dimension ref="A2:F74"/>
  <sheetViews>
    <sheetView showGridLines="0" topLeftCell="A47" workbookViewId="0">
      <selection activeCell="B65" sqref="B65"/>
    </sheetView>
  </sheetViews>
  <sheetFormatPr baseColWidth="10" defaultColWidth="8.6640625" defaultRowHeight="15" customHeight="1" x14ac:dyDescent="0.15"/>
  <cols>
    <col min="1" max="1" width="8.6640625" style="6" customWidth="1"/>
    <col min="2" max="2" width="31.5" style="6" customWidth="1"/>
    <col min="3" max="4" width="20" style="6" customWidth="1"/>
    <col min="5" max="5" width="14.33203125" style="6" customWidth="1"/>
    <col min="6" max="6" width="8.6640625" style="6" customWidth="1"/>
  </cols>
  <sheetData>
    <row r="2" spans="2:5" ht="21" customHeight="1" x14ac:dyDescent="0.2">
      <c r="B2" s="84" t="s">
        <v>20</v>
      </c>
      <c r="C2" s="85"/>
      <c r="D2" s="85"/>
    </row>
    <row r="3" spans="2:5" ht="15.75" customHeight="1" x14ac:dyDescent="0.15">
      <c r="B3" s="86" t="s">
        <v>21</v>
      </c>
      <c r="C3" s="87"/>
      <c r="D3" s="87"/>
    </row>
    <row r="5" spans="2:5" ht="18" customHeight="1" x14ac:dyDescent="0.15">
      <c r="B5" s="18" t="s">
        <v>22</v>
      </c>
    </row>
    <row r="7" spans="2:5" ht="15.75" customHeight="1" x14ac:dyDescent="0.15">
      <c r="B7" s="19" t="s">
        <v>23</v>
      </c>
    </row>
    <row r="8" spans="2:5" ht="15.75" customHeight="1" x14ac:dyDescent="0.15">
      <c r="B8" s="6" t="s">
        <v>24</v>
      </c>
      <c r="C8" s="20"/>
      <c r="D8" s="20"/>
      <c r="E8" s="20"/>
    </row>
    <row r="9" spans="2:5" ht="15" customHeight="1" x14ac:dyDescent="0.15">
      <c r="B9" s="20"/>
      <c r="C9" s="20"/>
      <c r="D9" s="20"/>
      <c r="E9" s="20"/>
    </row>
    <row r="11" spans="2:5" ht="15.75" customHeight="1" x14ac:dyDescent="0.15">
      <c r="B11" s="83" t="s">
        <v>25</v>
      </c>
      <c r="C11" s="83"/>
    </row>
    <row r="13" spans="2:5" ht="15.75" customHeight="1" x14ac:dyDescent="0.15">
      <c r="B13" s="21" t="s">
        <v>26</v>
      </c>
      <c r="C13" s="21" t="s">
        <v>27</v>
      </c>
    </row>
    <row r="14" spans="2:5" ht="15.75" customHeight="1" x14ac:dyDescent="0.15">
      <c r="B14" s="20" t="s">
        <v>28</v>
      </c>
      <c r="C14" s="22" cm="1">
        <f t="array" ref="C14">MSBA_Projections!C20</f>
        <v>111.5</v>
      </c>
    </row>
    <row r="15" spans="2:5" ht="15.75" customHeight="1" x14ac:dyDescent="0.15">
      <c r="B15" s="20" t="s">
        <v>29</v>
      </c>
      <c r="C15" s="22" cm="1">
        <f t="array" ref="C15">MSBA_Projections!C21</f>
        <v>928.48885514102324</v>
      </c>
    </row>
    <row r="16" spans="2:5" ht="15.75" customHeight="1" x14ac:dyDescent="0.15">
      <c r="B16" s="20" t="s">
        <v>30</v>
      </c>
      <c r="C16" s="23" cm="1">
        <f t="array" ref="C16">MSBA_Projections!C19</f>
        <v>7.3272543061975171</v>
      </c>
    </row>
    <row r="17" spans="2:5" ht="15.75" customHeight="1" x14ac:dyDescent="0.15">
      <c r="B17" s="20" t="s">
        <v>31</v>
      </c>
      <c r="C17" s="22" cm="1">
        <f t="array" ref="C17">MSBA_Projections!C22</f>
        <v>816.98885514102324</v>
      </c>
    </row>
    <row r="18" spans="2:5" ht="15.75" customHeight="1" x14ac:dyDescent="0.15">
      <c r="B18" s="20" t="s">
        <v>32</v>
      </c>
      <c r="C18" s="23" cm="1">
        <f t="array" ref="C18">MSBA_Projections!C23</f>
        <v>0.25593505053674359</v>
      </c>
    </row>
    <row r="19" spans="2:5" ht="15.75" customHeight="1" x14ac:dyDescent="0.15">
      <c r="B19" s="20" t="s">
        <v>33</v>
      </c>
      <c r="C19" s="22" cm="1">
        <f t="array" ref="C19">MSBA_Projections!C25</f>
        <v>210.04645554335809</v>
      </c>
    </row>
    <row r="20" spans="2:5" ht="15.75" customHeight="1" x14ac:dyDescent="0.15">
      <c r="B20" s="20" t="s">
        <v>34</v>
      </c>
      <c r="C20" s="24" cm="1">
        <f t="array" ref="C20">MSBA_Projections!C26</f>
        <v>2029</v>
      </c>
    </row>
    <row r="22" spans="2:5" ht="15.75" customHeight="1" x14ac:dyDescent="0.15">
      <c r="B22" s="81" t="s">
        <v>35</v>
      </c>
      <c r="C22" s="82"/>
      <c r="D22" s="82"/>
      <c r="E22" s="82"/>
    </row>
    <row r="24" spans="2:5" ht="15.75" customHeight="1" x14ac:dyDescent="0.15">
      <c r="B24" s="21" t="s">
        <v>36</v>
      </c>
      <c r="C24" s="48" t="s">
        <v>37</v>
      </c>
      <c r="D24" s="48" t="s">
        <v>38</v>
      </c>
      <c r="E24" s="21" t="s">
        <v>39</v>
      </c>
    </row>
    <row r="25" spans="2:5" ht="15.75" customHeight="1" x14ac:dyDescent="0.15">
      <c r="B25" s="20" t="s">
        <v>40</v>
      </c>
      <c r="C25" s="25" cm="1">
        <f t="array" ref="C25">Assumptions!C29</f>
        <v>0.35519931501701352</v>
      </c>
      <c r="D25" s="25" cm="1">
        <f t="array" ref="D25">Assumptions!C51</f>
        <v>0.52802179157421725</v>
      </c>
      <c r="E25" s="20" t="s">
        <v>41</v>
      </c>
    </row>
    <row r="26" spans="2:5" ht="15.75" customHeight="1" x14ac:dyDescent="0.15">
      <c r="B26" s="20" t="s">
        <v>42</v>
      </c>
      <c r="C26" s="25" cm="1">
        <f t="array" ref="C26">Assumptions!C30</f>
        <v>-4.0600971577973009E-2</v>
      </c>
      <c r="D26" s="49" cm="1">
        <f t="array" ref="D26">Assumptions!D62</f>
        <v>0.02</v>
      </c>
      <c r="E26" s="20" t="s">
        <v>43</v>
      </c>
    </row>
    <row r="27" spans="2:5" ht="15.75" customHeight="1" x14ac:dyDescent="0.15">
      <c r="B27" s="20" t="s">
        <v>44</v>
      </c>
      <c r="C27" s="25" cm="1">
        <f t="array" ref="C27">Assumptions!C31</f>
        <v>0.12908777969018925</v>
      </c>
      <c r="D27" s="25" cm="1">
        <f t="array" ref="D27">Assumptions!C53</f>
        <v>0.12908777969018925</v>
      </c>
      <c r="E27" s="20" t="s">
        <v>45</v>
      </c>
    </row>
    <row r="29" spans="2:5" ht="15.75" customHeight="1" x14ac:dyDescent="0.15">
      <c r="B29" s="26" t="s">
        <v>46</v>
      </c>
    </row>
    <row r="31" spans="2:5" ht="15.75" customHeight="1" x14ac:dyDescent="0.15">
      <c r="B31" s="2" t="s">
        <v>47</v>
      </c>
    </row>
    <row r="32" spans="2:5" ht="15.75" customHeight="1" x14ac:dyDescent="0.15">
      <c r="B32" s="6" t="s">
        <v>48</v>
      </c>
    </row>
    <row r="33" spans="2:5" ht="15" customHeight="1" x14ac:dyDescent="0.15">
      <c r="B33" s="20"/>
    </row>
    <row r="34" spans="2:5" ht="15.75" customHeight="1" x14ac:dyDescent="0.15">
      <c r="B34" s="2" t="s">
        <v>49</v>
      </c>
    </row>
    <row r="35" spans="2:5" ht="15.75" customHeight="1" x14ac:dyDescent="0.15">
      <c r="B35" s="6" t="s">
        <v>50</v>
      </c>
    </row>
    <row r="36" spans="2:5" ht="15" customHeight="1" x14ac:dyDescent="0.15">
      <c r="B36" s="20"/>
    </row>
    <row r="37" spans="2:5" ht="15.75" customHeight="1" x14ac:dyDescent="0.15">
      <c r="B37" s="2" t="s">
        <v>51</v>
      </c>
    </row>
    <row r="38" spans="2:5" ht="15.75" customHeight="1" x14ac:dyDescent="0.15">
      <c r="B38" s="6" t="s">
        <v>52</v>
      </c>
    </row>
    <row r="40" spans="2:5" ht="15.75" customHeight="1" x14ac:dyDescent="0.15">
      <c r="B40" s="27" t="s">
        <v>53</v>
      </c>
    </row>
    <row r="42" spans="2:5" ht="15.75" customHeight="1" x14ac:dyDescent="0.15">
      <c r="B42" s="6" t="s">
        <v>54</v>
      </c>
      <c r="C42" s="20"/>
      <c r="D42" s="20"/>
      <c r="E42" s="20"/>
    </row>
    <row r="44" spans="2:5" ht="15.75" customHeight="1" x14ac:dyDescent="0.15">
      <c r="B44" s="50" t="s">
        <v>55</v>
      </c>
    </row>
    <row r="45" spans="2:5" ht="15.75" customHeight="1" x14ac:dyDescent="0.15">
      <c r="B45" s="50" t="s">
        <v>56</v>
      </c>
    </row>
    <row r="46" spans="2:5" ht="15.75" customHeight="1" x14ac:dyDescent="0.15">
      <c r="B46" s="50" t="s">
        <v>57</v>
      </c>
    </row>
    <row r="47" spans="2:5" ht="15.75" customHeight="1" x14ac:dyDescent="0.15">
      <c r="B47" s="50" t="s">
        <v>58</v>
      </c>
    </row>
    <row r="48" spans="2:5" ht="15.75" customHeight="1" x14ac:dyDescent="0.15">
      <c r="B48" s="50" t="s">
        <v>59</v>
      </c>
    </row>
    <row r="50" spans="2:5" ht="15.75" customHeight="1" x14ac:dyDescent="0.15">
      <c r="B50" s="27" t="s">
        <v>60</v>
      </c>
    </row>
    <row r="52" spans="2:5" ht="15.75" customHeight="1" x14ac:dyDescent="0.15">
      <c r="B52" s="28" t="s">
        <v>2</v>
      </c>
      <c r="C52" s="28" t="s">
        <v>61</v>
      </c>
      <c r="D52" s="28" t="s">
        <v>62</v>
      </c>
      <c r="E52" s="28" t="s">
        <v>63</v>
      </c>
    </row>
    <row r="53" spans="2:5" ht="15.75" customHeight="1" x14ac:dyDescent="0.15">
      <c r="B53" s="29" cm="1">
        <f t="array" ref="B53">MSBA_Projections!B5</f>
        <v>2025</v>
      </c>
      <c r="C53" s="30" cm="1">
        <f t="array" ref="C53">MSBA_Projections!F5</f>
        <v>111.5</v>
      </c>
      <c r="D53" s="29" t="s">
        <v>64</v>
      </c>
      <c r="E53" s="29" t="s">
        <v>65</v>
      </c>
    </row>
    <row r="54" spans="2:5" ht="15.75" customHeight="1" x14ac:dyDescent="0.15">
      <c r="B54" s="6" cm="1">
        <f t="array" ref="B54">MSBA_Projections!B6</f>
        <v>2026</v>
      </c>
      <c r="C54" s="31" cm="1">
        <f t="array" ref="C54">MSBA_Projections!F6</f>
        <v>170.3744297605252</v>
      </c>
      <c r="D54" s="25" cm="1">
        <f t="array" ref="D54">MSBA_Projections!E6</f>
        <v>0.52802179157421725</v>
      </c>
      <c r="E54" s="31" cm="1">
        <f t="array" ref="E54">MSBA_Projections!G6</f>
        <v>58.874429760525203</v>
      </c>
    </row>
    <row r="55" spans="2:5" ht="15.75" customHeight="1" x14ac:dyDescent="0.15">
      <c r="B55" s="6" cm="1">
        <f t="array" ref="B55">MSBA_Projections!B7</f>
        <v>2027</v>
      </c>
      <c r="C55" s="31" cm="1">
        <f t="array" ref="C55">MSBA_Projections!F7</f>
        <v>260.33584140111333</v>
      </c>
      <c r="D55" s="25" cm="1">
        <f t="array" ref="D55">MSBA_Projections!E7</f>
        <v>0.52802179157421725</v>
      </c>
      <c r="E55" s="31" cm="1">
        <f t="array" ref="E55">MSBA_Projections!G7</f>
        <v>89.961411640588125</v>
      </c>
    </row>
    <row r="56" spans="2:5" ht="15.75" customHeight="1" x14ac:dyDescent="0.15">
      <c r="B56" s="6" cm="1">
        <f t="array" ref="B56">MSBA_Projections!B8</f>
        <v>2028</v>
      </c>
      <c r="C56" s="31" cm="1">
        <f t="array" ref="C56">MSBA_Projections!F8</f>
        <v>397.79883878871044</v>
      </c>
      <c r="D56" s="25" cm="1">
        <f t="array" ref="D56">MSBA_Projections!E8</f>
        <v>0.52802179157421725</v>
      </c>
      <c r="E56" s="31" cm="1">
        <f t="array" ref="E56">MSBA_Projections!G8</f>
        <v>137.46299738759711</v>
      </c>
    </row>
    <row r="57" spans="2:5" ht="15.75" customHeight="1" x14ac:dyDescent="0.15">
      <c r="B57" s="32" cm="1">
        <f t="array" ref="B57">MSBA_Projections!B9</f>
        <v>2029</v>
      </c>
      <c r="C57" s="33" cm="1">
        <f t="array" ref="C57">MSBA_Projections!F9</f>
        <v>607.84529433206853</v>
      </c>
      <c r="D57" s="34" cm="1">
        <f t="array" ref="D57">MSBA_Projections!E9</f>
        <v>0.52802179157421725</v>
      </c>
      <c r="E57" s="33" cm="1">
        <f t="array" ref="E57">MSBA_Projections!G9</f>
        <v>210.04645554335809</v>
      </c>
    </row>
    <row r="58" spans="2:5" ht="15.75" customHeight="1" x14ac:dyDescent="0.15">
      <c r="B58" s="6" cm="1">
        <f t="array" ref="B58">MSBA_Projections!B10</f>
        <v>2030</v>
      </c>
      <c r="C58" s="31" cm="1">
        <f t="array" ref="C58">MSBA_Projections!F10</f>
        <v>620.00220021870996</v>
      </c>
      <c r="D58" s="25" cm="1">
        <f t="array" ref="D58">MSBA_Projections!E10</f>
        <v>0.02</v>
      </c>
      <c r="E58" s="31" cm="1">
        <f t="array" ref="E58">MSBA_Projections!G10</f>
        <v>12.156905886641425</v>
      </c>
    </row>
    <row r="59" spans="2:5" ht="15.75" customHeight="1" x14ac:dyDescent="0.15">
      <c r="B59" s="6" cm="1">
        <f t="array" ref="B59">MSBA_Projections!B11</f>
        <v>2031</v>
      </c>
      <c r="C59" s="31" cm="1">
        <f t="array" ref="C59">MSBA_Projections!F11</f>
        <v>632.40224422308415</v>
      </c>
      <c r="D59" s="25" cm="1">
        <f t="array" ref="D59">MSBA_Projections!E11</f>
        <v>0.02</v>
      </c>
      <c r="E59" s="31" cm="1">
        <f t="array" ref="E59">MSBA_Projections!G11</f>
        <v>12.400044004374195</v>
      </c>
    </row>
    <row r="60" spans="2:5" ht="15.75" customHeight="1" x14ac:dyDescent="0.15">
      <c r="B60" s="6" cm="1">
        <f t="array" ref="B60">MSBA_Projections!B12</f>
        <v>2032</v>
      </c>
      <c r="C60" s="31" cm="1">
        <f t="array" ref="C60">MSBA_Projections!F12</f>
        <v>645.05028910754584</v>
      </c>
      <c r="D60" s="25" cm="1">
        <f t="array" ref="D60">MSBA_Projections!E12</f>
        <v>0.02</v>
      </c>
      <c r="E60" s="31" cm="1">
        <f t="array" ref="E60">MSBA_Projections!G12</f>
        <v>12.648044884461683</v>
      </c>
    </row>
    <row r="61" spans="2:5" ht="15.75" customHeight="1" x14ac:dyDescent="0.15">
      <c r="B61" s="6" cm="1">
        <f t="array" ref="B61">MSBA_Projections!B13</f>
        <v>2033</v>
      </c>
      <c r="C61" s="31" cm="1">
        <f t="array" ref="C61">MSBA_Projections!F13</f>
        <v>728.31839871695365</v>
      </c>
      <c r="D61" s="25" cm="1">
        <f t="array" ref="D61">MSBA_Projections!E13</f>
        <v>0.12908777969018925</v>
      </c>
      <c r="E61" s="31" cm="1">
        <f t="array" ref="E61">MSBA_Projections!G13</f>
        <v>83.268109609407816</v>
      </c>
    </row>
    <row r="62" spans="2:5" ht="15.75" customHeight="1" x14ac:dyDescent="0.15">
      <c r="B62" s="6" cm="1">
        <f t="array" ref="B62">MSBA_Projections!B14</f>
        <v>2034</v>
      </c>
      <c r="C62" s="31" cm="1">
        <f t="array" ref="C62">MSBA_Projections!F14</f>
        <v>822.33540371483923</v>
      </c>
      <c r="D62" s="25" cm="1">
        <f t="array" ref="D62">MSBA_Projections!E14</f>
        <v>0.12908777969018925</v>
      </c>
      <c r="E62" s="31" cm="1">
        <f t="array" ref="E62">MSBA_Projections!G14</f>
        <v>94.017004997885579</v>
      </c>
    </row>
    <row r="63" spans="2:5" ht="15.75" customHeight="1" x14ac:dyDescent="0.15">
      <c r="B63" s="6" cm="1">
        <f t="array" ref="B63">MSBA_Projections!B15</f>
        <v>2035</v>
      </c>
      <c r="C63" s="31" cm="1">
        <f t="array" ref="C63">MSBA_Projections!F15</f>
        <v>928.48885514102324</v>
      </c>
      <c r="D63" s="25" cm="1">
        <f t="array" ref="D63">MSBA_Projections!E15</f>
        <v>0.12908777969018925</v>
      </c>
      <c r="E63" s="31" cm="1">
        <f t="array" ref="E63">MSBA_Projections!G15</f>
        <v>106.15345142618401</v>
      </c>
    </row>
    <row r="65" spans="2:2" ht="15.75" customHeight="1" x14ac:dyDescent="0.15">
      <c r="B65" s="35" t="str">
        <f>CONCATENATE("Note: Peak growth occurs in ",MSBA_Projections!C26," with ",TEXT(MSBA_Projections!C25,"#,##0")," new students")</f>
        <v>Note: Peak growth occurs in 2029 with 210 new students</v>
      </c>
    </row>
    <row r="67" spans="2:2" ht="16.5" customHeight="1" x14ac:dyDescent="0.15"/>
    <row r="72" spans="2:2" ht="15.75" customHeight="1" x14ac:dyDescent="0.15"/>
    <row r="73" spans="2:2" ht="15.75" customHeight="1" x14ac:dyDescent="0.15"/>
    <row r="74" spans="2:2" ht="15.75" customHeight="1" x14ac:dyDescent="0.15"/>
  </sheetData>
  <mergeCells count="4">
    <mergeCell ref="B22:E22"/>
    <mergeCell ref="B11:C11"/>
    <mergeCell ref="B2:D2"/>
    <mergeCell ref="B3:D3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B69D-60DD-D698-12A8-A56F4F83C875}">
  <dimension ref="A2:H68"/>
  <sheetViews>
    <sheetView showGridLines="0" topLeftCell="A32" zoomScale="70" workbookViewId="0">
      <selection activeCell="C6" sqref="C6"/>
    </sheetView>
  </sheetViews>
  <sheetFormatPr baseColWidth="10" defaultColWidth="8.6640625" defaultRowHeight="15" customHeight="1" x14ac:dyDescent="0.15"/>
  <cols>
    <col min="1" max="1" width="8.6640625" style="6" customWidth="1"/>
    <col min="2" max="2" width="35.6640625" style="6" customWidth="1"/>
    <col min="3" max="3" width="17.1640625" style="6" customWidth="1"/>
    <col min="4" max="4" width="28.5" style="6" customWidth="1"/>
    <col min="5" max="5" width="8.6640625" style="6" customWidth="1"/>
    <col min="6" max="8" width="14.33203125" style="6" customWidth="1"/>
  </cols>
  <sheetData>
    <row r="2" spans="2:8" ht="18.75" customHeight="1" x14ac:dyDescent="0.15">
      <c r="B2" s="90" t="s">
        <v>66</v>
      </c>
      <c r="C2" s="90"/>
      <c r="D2" s="90"/>
    </row>
    <row r="4" spans="2:8" ht="15.75" customHeight="1" x14ac:dyDescent="0.15">
      <c r="B4" s="91" t="s">
        <v>67</v>
      </c>
      <c r="C4" s="92"/>
      <c r="D4" s="92"/>
      <c r="F4" s="81" t="s">
        <v>68</v>
      </c>
      <c r="G4" s="93"/>
      <c r="H4" s="93"/>
    </row>
    <row r="5" spans="2:8" ht="15.75" customHeight="1" x14ac:dyDescent="0.15">
      <c r="B5" s="51" t="s">
        <v>2</v>
      </c>
      <c r="C5" s="51" t="s">
        <v>69</v>
      </c>
      <c r="D5" s="51" t="s">
        <v>70</v>
      </c>
      <c r="F5" s="2" t="s">
        <v>2</v>
      </c>
      <c r="G5" s="2" t="s">
        <v>61</v>
      </c>
      <c r="H5" s="2" t="s">
        <v>70</v>
      </c>
    </row>
    <row r="6" spans="2:8" ht="15.75" customHeight="1" x14ac:dyDescent="0.15">
      <c r="B6" s="6">
        <v>2010</v>
      </c>
      <c r="C6" s="6">
        <v>131</v>
      </c>
      <c r="F6" s="6">
        <v>2023</v>
      </c>
      <c r="G6" s="6">
        <v>113</v>
      </c>
    </row>
    <row r="7" spans="2:8" ht="15.75" customHeight="1" x14ac:dyDescent="0.15">
      <c r="B7" s="6">
        <v>2011</v>
      </c>
      <c r="C7" s="6">
        <v>134.5</v>
      </c>
      <c r="D7" s="49">
        <f t="shared" ref="D7:H40" si="0">(C7/C6)-1</f>
        <v>2.6717557251908497E-2</v>
      </c>
      <c r="F7" s="6">
        <v>2024</v>
      </c>
      <c r="G7" s="6">
        <v>261</v>
      </c>
      <c r="H7" s="49">
        <f t="shared" si="0"/>
        <v>1.3097345132743361</v>
      </c>
    </row>
    <row r="8" spans="2:8" ht="15.75" customHeight="1" x14ac:dyDescent="0.15">
      <c r="B8" s="6">
        <v>2012</v>
      </c>
      <c r="C8" s="6">
        <v>144</v>
      </c>
      <c r="D8" s="49">
        <f t="shared" si="0"/>
        <v>7.0631970260222943E-2</v>
      </c>
      <c r="F8" s="6">
        <v>2025</v>
      </c>
      <c r="G8" s="6">
        <v>285</v>
      </c>
      <c r="H8" s="49">
        <f t="shared" si="0"/>
        <v>9.1954022988505857E-2</v>
      </c>
    </row>
    <row r="9" spans="2:8" ht="15.75" customHeight="1" x14ac:dyDescent="0.15">
      <c r="B9" s="6">
        <v>2013</v>
      </c>
      <c r="C9" s="6">
        <v>139</v>
      </c>
      <c r="D9" s="49">
        <f t="shared" si="0"/>
        <v>-3.472222222222221E-2</v>
      </c>
    </row>
    <row r="10" spans="2:8" ht="15.75" customHeight="1" x14ac:dyDescent="0.15">
      <c r="B10" s="6">
        <v>2014</v>
      </c>
      <c r="C10" s="6">
        <v>143</v>
      </c>
      <c r="D10" s="49">
        <f t="shared" si="0"/>
        <v>2.877697841726623E-2</v>
      </c>
      <c r="F10" s="36" t="s">
        <v>71</v>
      </c>
      <c r="G10" s="37"/>
      <c r="H10" s="37"/>
    </row>
    <row r="11" spans="2:8" ht="15.75" customHeight="1" x14ac:dyDescent="0.15">
      <c r="B11" s="6">
        <v>2015</v>
      </c>
      <c r="C11" s="6">
        <v>143</v>
      </c>
      <c r="D11" s="49">
        <f t="shared" si="0"/>
        <v>0</v>
      </c>
      <c r="F11" s="2" t="s">
        <v>72</v>
      </c>
      <c r="G11" s="52">
        <f>AVERAGE(H7:H8)</f>
        <v>0.70084426813142098</v>
      </c>
    </row>
    <row r="12" spans="2:8" ht="15.75" customHeight="1" x14ac:dyDescent="0.15">
      <c r="B12" s="53">
        <v>2016</v>
      </c>
      <c r="C12" s="6">
        <v>147</v>
      </c>
      <c r="D12" s="49">
        <f t="shared" si="0"/>
        <v>2.7972027972027913E-2</v>
      </c>
    </row>
    <row r="13" spans="2:8" ht="15.75" customHeight="1" x14ac:dyDescent="0.15">
      <c r="B13" s="54" t="s">
        <v>73</v>
      </c>
      <c r="C13" s="55">
        <f>AVERAGE(D7:D12)</f>
        <v>1.9896051946533894E-2</v>
      </c>
    </row>
    <row r="15" spans="2:8" ht="15.75" customHeight="1" x14ac:dyDescent="0.15">
      <c r="B15" s="91" t="s">
        <v>74</v>
      </c>
      <c r="C15" s="92"/>
      <c r="D15" s="92"/>
    </row>
    <row r="16" spans="2:8" ht="15.75" customHeight="1" x14ac:dyDescent="0.15">
      <c r="B16" s="51" t="s">
        <v>2</v>
      </c>
      <c r="C16" s="51" t="s">
        <v>69</v>
      </c>
      <c r="D16" s="51" t="s">
        <v>70</v>
      </c>
    </row>
    <row r="17" spans="2:4" ht="15.75" customHeight="1" x14ac:dyDescent="0.15">
      <c r="B17" s="6">
        <v>2017</v>
      </c>
      <c r="C17" s="6">
        <v>203</v>
      </c>
    </row>
    <row r="18" spans="2:4" ht="15.75" customHeight="1" x14ac:dyDescent="0.15">
      <c r="B18" s="6">
        <v>2018</v>
      </c>
      <c r="C18" s="6">
        <v>287</v>
      </c>
      <c r="D18" s="49">
        <f t="shared" si="0"/>
        <v>0.4137931034482758</v>
      </c>
    </row>
    <row r="19" spans="2:4" ht="15.75" customHeight="1" x14ac:dyDescent="0.15">
      <c r="B19" s="6">
        <v>2019</v>
      </c>
      <c r="C19" s="6">
        <v>454</v>
      </c>
      <c r="D19" s="49">
        <f t="shared" si="0"/>
        <v>0.5818815331010454</v>
      </c>
    </row>
    <row r="20" spans="2:4" ht="15.75" customHeight="1" x14ac:dyDescent="0.15">
      <c r="B20" s="6">
        <v>2020</v>
      </c>
      <c r="C20" s="6">
        <v>529</v>
      </c>
      <c r="D20" s="49">
        <f t="shared" si="0"/>
        <v>0.16519823788546262</v>
      </c>
    </row>
    <row r="21" spans="2:4" ht="15.75" customHeight="1" x14ac:dyDescent="0.15">
      <c r="B21" s="6">
        <v>2021</v>
      </c>
      <c r="C21" s="6">
        <v>666.5</v>
      </c>
      <c r="D21" s="49">
        <f t="shared" si="0"/>
        <v>0.25992438563327025</v>
      </c>
    </row>
    <row r="22" spans="2:4" ht="15.75" customHeight="1" x14ac:dyDescent="0.15">
      <c r="B22" s="6">
        <v>2022</v>
      </c>
      <c r="C22" s="6">
        <v>668.5</v>
      </c>
      <c r="D22" s="49">
        <f t="shared" si="0"/>
        <v>3.0007501875468634E-3</v>
      </c>
    </row>
    <row r="23" spans="2:4" ht="15.75" customHeight="1" x14ac:dyDescent="0.15">
      <c r="B23" s="6">
        <v>2023</v>
      </c>
      <c r="C23" s="6">
        <v>560</v>
      </c>
      <c r="D23" s="49">
        <f t="shared" si="0"/>
        <v>-0.16230366492146597</v>
      </c>
    </row>
    <row r="24" spans="2:4" ht="15.75" customHeight="1" x14ac:dyDescent="0.15">
      <c r="B24" s="6">
        <v>2024</v>
      </c>
      <c r="C24" s="6">
        <v>581</v>
      </c>
      <c r="D24" s="49">
        <f t="shared" si="0"/>
        <v>3.7500000000000089E-2</v>
      </c>
    </row>
    <row r="25" spans="2:4" ht="15.75" customHeight="1" x14ac:dyDescent="0.15">
      <c r="B25" s="6">
        <v>2025</v>
      </c>
      <c r="C25" s="6">
        <v>656</v>
      </c>
      <c r="D25" s="49">
        <f t="shared" si="0"/>
        <v>0.12908777969018925</v>
      </c>
    </row>
    <row r="26" spans="2:4" ht="15" customHeight="1" x14ac:dyDescent="0.15">
      <c r="D26" s="25"/>
    </row>
    <row r="28" spans="2:4" ht="15.75" customHeight="1" x14ac:dyDescent="0.15">
      <c r="B28" s="51" t="s">
        <v>75</v>
      </c>
    </row>
    <row r="29" spans="2:4" ht="15.75" customHeight="1" x14ac:dyDescent="0.15">
      <c r="B29" s="56" t="s">
        <v>76</v>
      </c>
      <c r="C29" s="49">
        <f>AVERAGE(D18:D21)</f>
        <v>0.35519931501701352</v>
      </c>
    </row>
    <row r="30" spans="2:4" ht="15.75" customHeight="1" x14ac:dyDescent="0.15">
      <c r="B30" s="56" t="s">
        <v>77</v>
      </c>
      <c r="C30" s="49">
        <f>AVERAGE(D22:D24)</f>
        <v>-4.0600971577973009E-2</v>
      </c>
    </row>
    <row r="31" spans="2:4" ht="15.75" customHeight="1" x14ac:dyDescent="0.15">
      <c r="B31" s="56" t="s">
        <v>78</v>
      </c>
      <c r="C31" s="49">
        <f>AVERAGE(D25)</f>
        <v>0.12908777969018925</v>
      </c>
    </row>
    <row r="32" spans="2:4" ht="15" customHeight="1" x14ac:dyDescent="0.15">
      <c r="B32" s="38"/>
      <c r="C32" s="25"/>
    </row>
    <row r="34" spans="2:4" ht="15.75" customHeight="1" x14ac:dyDescent="0.15">
      <c r="B34" s="91" t="s">
        <v>79</v>
      </c>
      <c r="C34" s="94"/>
      <c r="D34" s="94"/>
    </row>
    <row r="35" spans="2:4" ht="15.75" customHeight="1" x14ac:dyDescent="0.15">
      <c r="B35" s="51" t="s">
        <v>2</v>
      </c>
      <c r="C35" s="51" t="s">
        <v>69</v>
      </c>
      <c r="D35" s="51" t="s">
        <v>70</v>
      </c>
    </row>
    <row r="36" spans="2:4" ht="15.75" customHeight="1" x14ac:dyDescent="0.15">
      <c r="B36" s="6">
        <v>2021</v>
      </c>
      <c r="C36" s="6">
        <v>26</v>
      </c>
    </row>
    <row r="37" spans="2:4" ht="15.75" customHeight="1" x14ac:dyDescent="0.15">
      <c r="B37" s="6">
        <v>2022</v>
      </c>
      <c r="C37" s="6">
        <v>75.5</v>
      </c>
      <c r="D37" s="49">
        <f t="shared" si="0"/>
        <v>1.9038461538461537</v>
      </c>
    </row>
    <row r="38" spans="2:4" ht="15.75" customHeight="1" x14ac:dyDescent="0.15">
      <c r="B38" s="6">
        <v>2023</v>
      </c>
      <c r="C38" s="6">
        <v>85</v>
      </c>
      <c r="D38" s="49">
        <f t="shared" si="0"/>
        <v>0.1258278145695364</v>
      </c>
    </row>
    <row r="39" spans="2:4" ht="15.75" customHeight="1" x14ac:dyDescent="0.15">
      <c r="B39" s="6">
        <v>2024</v>
      </c>
      <c r="C39" s="6">
        <v>115.5</v>
      </c>
      <c r="D39" s="49">
        <f t="shared" si="0"/>
        <v>0.35882352941176476</v>
      </c>
    </row>
    <row r="40" spans="2:4" ht="15.75" customHeight="1" x14ac:dyDescent="0.15">
      <c r="B40" s="6">
        <v>2025</v>
      </c>
      <c r="C40" s="6">
        <v>111.5</v>
      </c>
      <c r="D40" s="49">
        <f t="shared" si="0"/>
        <v>-3.4632034632034681E-2</v>
      </c>
    </row>
    <row r="41" spans="2:4" ht="15.75" customHeight="1" x14ac:dyDescent="0.15">
      <c r="B41" s="54" t="s">
        <v>80</v>
      </c>
      <c r="C41" s="55">
        <f>AVERAGE(D37:D40)</f>
        <v>0.58846636579885503</v>
      </c>
    </row>
    <row r="44" spans="2:4" ht="15.75" customHeight="1" x14ac:dyDescent="0.15">
      <c r="B44" s="95" t="s">
        <v>81</v>
      </c>
      <c r="C44" s="96"/>
      <c r="D44" s="96"/>
    </row>
    <row r="46" spans="2:4" ht="15.75" customHeight="1" x14ac:dyDescent="0.15">
      <c r="B46" s="51" t="s">
        <v>82</v>
      </c>
    </row>
    <row r="47" spans="2:4" ht="15.75" customHeight="1" x14ac:dyDescent="0.15">
      <c r="B47" s="56" t="s">
        <v>83</v>
      </c>
      <c r="C47" s="57">
        <v>2026</v>
      </c>
    </row>
    <row r="48" spans="2:4" ht="15.75" customHeight="1" x14ac:dyDescent="0.15">
      <c r="B48" s="56" t="s">
        <v>84</v>
      </c>
      <c r="C48" s="57">
        <v>10</v>
      </c>
    </row>
    <row r="50" spans="2:5" ht="15.75" customHeight="1" x14ac:dyDescent="0.15">
      <c r="B50" s="51" t="s">
        <v>85</v>
      </c>
    </row>
    <row r="51" spans="2:5" ht="15.75" customHeight="1" x14ac:dyDescent="0.15">
      <c r="B51" s="56" t="s">
        <v>86</v>
      </c>
      <c r="C51" s="58">
        <f>(C29+G11)/2</f>
        <v>0.52802179157421725</v>
      </c>
      <c r="D51" s="56" t="s">
        <v>87</v>
      </c>
    </row>
    <row r="52" spans="2:5" ht="15.75" customHeight="1" x14ac:dyDescent="0.15">
      <c r="B52" s="56" t="s">
        <v>88</v>
      </c>
      <c r="C52" s="58" cm="1">
        <f t="array" ref="C52">C30</f>
        <v>-4.0600971577973009E-2</v>
      </c>
      <c r="D52" s="56" t="s">
        <v>89</v>
      </c>
    </row>
    <row r="53" spans="2:5" ht="15.75" customHeight="1" x14ac:dyDescent="0.15">
      <c r="B53" s="56" t="s">
        <v>90</v>
      </c>
      <c r="C53" s="58" cm="1">
        <f t="array" ref="C53">C31</f>
        <v>0.12908777969018925</v>
      </c>
      <c r="D53" s="56" t="s">
        <v>91</v>
      </c>
    </row>
    <row r="55" spans="2:5" ht="15.75" customHeight="1" x14ac:dyDescent="0.15">
      <c r="B55" s="56" t="s">
        <v>92</v>
      </c>
      <c r="C55" s="59" cm="1">
        <f t="array" ref="C55">C40</f>
        <v>111.5</v>
      </c>
    </row>
    <row r="56" spans="2:5" ht="15" customHeight="1" x14ac:dyDescent="0.15">
      <c r="B56" s="38"/>
    </row>
    <row r="58" spans="2:5" ht="15.75" customHeight="1" x14ac:dyDescent="0.15">
      <c r="B58" s="88" t="s">
        <v>93</v>
      </c>
      <c r="C58" s="89"/>
      <c r="D58" s="89"/>
      <c r="E58" s="89"/>
    </row>
    <row r="60" spans="2:5" ht="15.75" customHeight="1" x14ac:dyDescent="0.15">
      <c r="B60" s="60" t="s">
        <v>94</v>
      </c>
      <c r="C60" s="60" t="s">
        <v>40</v>
      </c>
      <c r="D60" s="60" t="s">
        <v>42</v>
      </c>
      <c r="E60" s="60" t="s">
        <v>95</v>
      </c>
    </row>
    <row r="61" spans="2:5" ht="15.75" customHeight="1" x14ac:dyDescent="0.15">
      <c r="B61" s="61" t="s">
        <v>96</v>
      </c>
      <c r="C61" s="62">
        <f>C51*1.2</f>
        <v>0.63362614988906063</v>
      </c>
      <c r="D61" s="62">
        <f>MAX(C52*1.2,0.05)</f>
        <v>0.05</v>
      </c>
      <c r="E61" s="62">
        <f>C53*1.2</f>
        <v>0.15490533562822709</v>
      </c>
    </row>
    <row r="62" spans="2:5" ht="15.75" customHeight="1" x14ac:dyDescent="0.15">
      <c r="B62" s="63" t="s">
        <v>97</v>
      </c>
      <c r="C62" s="64" cm="1">
        <f t="array" ref="C62">C51</f>
        <v>0.52802179157421725</v>
      </c>
      <c r="D62" s="64">
        <f>MAX(C52,0.02)</f>
        <v>0.02</v>
      </c>
      <c r="E62" s="64" cm="1">
        <f t="array" ref="E62">C53</f>
        <v>0.12908777969018925</v>
      </c>
    </row>
    <row r="63" spans="2:5" ht="15.75" customHeight="1" x14ac:dyDescent="0.15">
      <c r="B63" s="65" t="s">
        <v>98</v>
      </c>
      <c r="C63" s="66">
        <f>C51*0.7</f>
        <v>0.36961525410195206</v>
      </c>
      <c r="D63" s="66">
        <f>MAX(C52*0.7,0)</f>
        <v>0</v>
      </c>
      <c r="E63" s="66">
        <f>C53*0.7</f>
        <v>9.0361445783132474E-2</v>
      </c>
    </row>
    <row r="65" spans="2:2" ht="15.75" customHeight="1" x14ac:dyDescent="0.15">
      <c r="B65" s="2" t="s">
        <v>99</v>
      </c>
    </row>
    <row r="66" spans="2:2" ht="15.75" customHeight="1" x14ac:dyDescent="0.15">
      <c r="B66" s="50" t="s">
        <v>100</v>
      </c>
    </row>
    <row r="67" spans="2:2" ht="15.75" customHeight="1" x14ac:dyDescent="0.15">
      <c r="B67" s="50" t="s">
        <v>101</v>
      </c>
    </row>
    <row r="68" spans="2:2" ht="15.75" customHeight="1" x14ac:dyDescent="0.15">
      <c r="B68" s="50" t="s">
        <v>102</v>
      </c>
    </row>
  </sheetData>
  <mergeCells count="7">
    <mergeCell ref="B58:E58"/>
    <mergeCell ref="B2:D2"/>
    <mergeCell ref="B4:D4"/>
    <mergeCell ref="F4:H4"/>
    <mergeCell ref="B15:D15"/>
    <mergeCell ref="B34:D34"/>
    <mergeCell ref="B44:D44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9628-1B88-DAA8-F0A8-958F293FA2F8}">
  <dimension ref="A2:H26"/>
  <sheetViews>
    <sheetView showGridLines="0" topLeftCell="A4" zoomScale="115" workbookViewId="0">
      <selection activeCell="J15" sqref="J15"/>
    </sheetView>
  </sheetViews>
  <sheetFormatPr baseColWidth="10" defaultColWidth="8.6640625" defaultRowHeight="15" customHeight="1" x14ac:dyDescent="0.15"/>
  <cols>
    <col min="1" max="1" width="8.6640625" style="6" customWidth="1"/>
    <col min="2" max="2" width="31.5" style="6" customWidth="1"/>
    <col min="3" max="3" width="22.5" style="6" customWidth="1"/>
    <col min="4" max="4" width="21.5" style="6" customWidth="1"/>
    <col min="5" max="5" width="22.6640625" style="6" customWidth="1"/>
    <col min="6" max="6" width="23.33203125" style="6" customWidth="1"/>
    <col min="7" max="7" width="17.1640625" style="6" customWidth="1"/>
    <col min="8" max="8" width="8.6640625" style="6" customWidth="1"/>
  </cols>
  <sheetData>
    <row r="2" spans="2:7" ht="18.75" customHeight="1" x14ac:dyDescent="0.2">
      <c r="B2" s="97" t="s">
        <v>103</v>
      </c>
      <c r="C2" s="98"/>
      <c r="D2" s="98"/>
    </row>
    <row r="4" spans="2:7" ht="15" customHeight="1" x14ac:dyDescent="0.15">
      <c r="B4" s="39" t="s">
        <v>2</v>
      </c>
      <c r="C4" s="39" t="s">
        <v>104</v>
      </c>
      <c r="D4" s="39" t="s">
        <v>105</v>
      </c>
      <c r="E4" s="39" t="s">
        <v>106</v>
      </c>
      <c r="F4" s="39" t="s">
        <v>107</v>
      </c>
      <c r="G4" s="39" t="s">
        <v>108</v>
      </c>
    </row>
    <row r="5" spans="2:7" ht="15" customHeight="1" x14ac:dyDescent="0.15">
      <c r="B5" s="29">
        <v>2025</v>
      </c>
      <c r="C5" s="29">
        <v>0</v>
      </c>
      <c r="D5" s="29" t="s">
        <v>109</v>
      </c>
      <c r="E5" s="29" t="s">
        <v>65</v>
      </c>
      <c r="F5" s="30" cm="1">
        <f t="array" ref="F5">Assumptions!C40</f>
        <v>111.5</v>
      </c>
      <c r="G5" s="29" t="s">
        <v>65</v>
      </c>
    </row>
    <row r="6" spans="2:7" ht="15" customHeight="1" x14ac:dyDescent="0.15">
      <c r="B6" s="6">
        <v>2026</v>
      </c>
      <c r="C6" s="6">
        <v>1</v>
      </c>
      <c r="D6" s="6" t="s">
        <v>40</v>
      </c>
      <c r="E6" s="25" cm="1">
        <f t="array" ref="E6">Assumptions!C51</f>
        <v>0.52802179157421725</v>
      </c>
      <c r="F6" s="31">
        <f t="shared" ref="F6:F15" si="0">F5*(1+E6)</f>
        <v>170.3744297605252</v>
      </c>
      <c r="G6" s="31">
        <f t="shared" ref="G6:G15" si="1">F6-F5</f>
        <v>58.874429760525203</v>
      </c>
    </row>
    <row r="7" spans="2:7" ht="15" customHeight="1" x14ac:dyDescent="0.15">
      <c r="B7" s="6">
        <v>2027</v>
      </c>
      <c r="C7" s="6">
        <v>2</v>
      </c>
      <c r="D7" s="6" t="s">
        <v>40</v>
      </c>
      <c r="E7" s="25" cm="1">
        <f t="array" ref="E7">Assumptions!C51</f>
        <v>0.52802179157421725</v>
      </c>
      <c r="F7" s="31">
        <f t="shared" si="0"/>
        <v>260.33584140111333</v>
      </c>
      <c r="G7" s="31">
        <f t="shared" si="1"/>
        <v>89.961411640588125</v>
      </c>
    </row>
    <row r="8" spans="2:7" ht="15" customHeight="1" x14ac:dyDescent="0.15">
      <c r="B8" s="6">
        <v>2028</v>
      </c>
      <c r="C8" s="6">
        <v>3</v>
      </c>
      <c r="D8" s="6" t="s">
        <v>40</v>
      </c>
      <c r="E8" s="25" cm="1">
        <f t="array" ref="E8">Assumptions!C51</f>
        <v>0.52802179157421725</v>
      </c>
      <c r="F8" s="31">
        <f t="shared" si="0"/>
        <v>397.79883878871044</v>
      </c>
      <c r="G8" s="31">
        <f t="shared" si="1"/>
        <v>137.46299738759711</v>
      </c>
    </row>
    <row r="9" spans="2:7" ht="15" customHeight="1" x14ac:dyDescent="0.15">
      <c r="B9" s="6">
        <v>2029</v>
      </c>
      <c r="C9" s="6">
        <v>4</v>
      </c>
      <c r="D9" s="6" t="s">
        <v>40</v>
      </c>
      <c r="E9" s="25" cm="1">
        <f t="array" ref="E9">Assumptions!C51</f>
        <v>0.52802179157421725</v>
      </c>
      <c r="F9" s="31">
        <f t="shared" si="0"/>
        <v>607.84529433206853</v>
      </c>
      <c r="G9" s="31">
        <f t="shared" si="1"/>
        <v>210.04645554335809</v>
      </c>
    </row>
    <row r="10" spans="2:7" ht="15" customHeight="1" x14ac:dyDescent="0.15">
      <c r="B10" s="6">
        <v>2030</v>
      </c>
      <c r="C10" s="6">
        <v>5</v>
      </c>
      <c r="D10" s="6" t="s">
        <v>42</v>
      </c>
      <c r="E10" s="49" cm="1">
        <f t="array" ref="E10">Assumptions!D62</f>
        <v>0.02</v>
      </c>
      <c r="F10" s="31">
        <f t="shared" si="0"/>
        <v>620.00220021870996</v>
      </c>
      <c r="G10" s="31">
        <f t="shared" si="1"/>
        <v>12.156905886641425</v>
      </c>
    </row>
    <row r="11" spans="2:7" ht="15" customHeight="1" x14ac:dyDescent="0.15">
      <c r="B11" s="6">
        <v>2031</v>
      </c>
      <c r="C11" s="6">
        <v>6</v>
      </c>
      <c r="D11" s="6" t="s">
        <v>42</v>
      </c>
      <c r="E11" s="49" cm="1">
        <f t="array" ref="E11">Assumptions!D62</f>
        <v>0.02</v>
      </c>
      <c r="F11" s="31">
        <f t="shared" si="0"/>
        <v>632.40224422308415</v>
      </c>
      <c r="G11" s="31">
        <f t="shared" si="1"/>
        <v>12.400044004374195</v>
      </c>
    </row>
    <row r="12" spans="2:7" ht="15" customHeight="1" x14ac:dyDescent="0.15">
      <c r="B12" s="6">
        <v>2032</v>
      </c>
      <c r="C12" s="6">
        <v>7</v>
      </c>
      <c r="D12" s="6" t="s">
        <v>42</v>
      </c>
      <c r="E12" s="49" cm="1">
        <f t="array" ref="E12">Assumptions!D62</f>
        <v>0.02</v>
      </c>
      <c r="F12" s="31">
        <f t="shared" si="0"/>
        <v>645.05028910754584</v>
      </c>
      <c r="G12" s="31">
        <f t="shared" si="1"/>
        <v>12.648044884461683</v>
      </c>
    </row>
    <row r="13" spans="2:7" ht="15" customHeight="1" x14ac:dyDescent="0.15">
      <c r="B13" s="6">
        <v>2033</v>
      </c>
      <c r="C13" s="6">
        <v>8</v>
      </c>
      <c r="D13" s="6" t="s">
        <v>95</v>
      </c>
      <c r="E13" s="25" cm="1">
        <f t="array" ref="E13">Assumptions!C53</f>
        <v>0.12908777969018925</v>
      </c>
      <c r="F13" s="31">
        <f t="shared" si="0"/>
        <v>728.31839871695365</v>
      </c>
      <c r="G13" s="31">
        <f t="shared" si="1"/>
        <v>83.268109609407816</v>
      </c>
    </row>
    <row r="14" spans="2:7" ht="15" customHeight="1" x14ac:dyDescent="0.15">
      <c r="B14" s="6">
        <v>2034</v>
      </c>
      <c r="C14" s="6">
        <v>9</v>
      </c>
      <c r="D14" s="6" t="s">
        <v>95</v>
      </c>
      <c r="E14" s="25" cm="1">
        <f t="array" ref="E14">Assumptions!C53</f>
        <v>0.12908777969018925</v>
      </c>
      <c r="F14" s="31">
        <f t="shared" si="0"/>
        <v>822.33540371483923</v>
      </c>
      <c r="G14" s="31">
        <f t="shared" si="1"/>
        <v>94.017004997885579</v>
      </c>
    </row>
    <row r="15" spans="2:7" ht="15" customHeight="1" x14ac:dyDescent="0.15">
      <c r="B15" s="6">
        <v>2035</v>
      </c>
      <c r="C15" s="6">
        <v>10</v>
      </c>
      <c r="D15" s="6" t="s">
        <v>95</v>
      </c>
      <c r="E15" s="25" cm="1">
        <f t="array" ref="E15">Assumptions!C53</f>
        <v>0.12908777969018925</v>
      </c>
      <c r="F15" s="31">
        <f t="shared" si="0"/>
        <v>928.48885514102324</v>
      </c>
      <c r="G15" s="31">
        <f t="shared" si="1"/>
        <v>106.15345142618401</v>
      </c>
    </row>
    <row r="17" spans="2:3" ht="15" customHeight="1" x14ac:dyDescent="0.15">
      <c r="B17" s="81" t="s">
        <v>110</v>
      </c>
      <c r="C17" s="82"/>
    </row>
    <row r="19" spans="2:3" ht="15" customHeight="1" x14ac:dyDescent="0.15">
      <c r="B19" s="20" t="s">
        <v>111</v>
      </c>
      <c r="C19" s="23">
        <f>F15/F5-1</f>
        <v>7.3272543061975171</v>
      </c>
    </row>
    <row r="20" spans="2:3" ht="15" customHeight="1" x14ac:dyDescent="0.15">
      <c r="B20" s="20" t="s">
        <v>28</v>
      </c>
      <c r="C20" s="22" cm="1">
        <f t="array" ref="C20">F5</f>
        <v>111.5</v>
      </c>
    </row>
    <row r="21" spans="2:3" ht="15" customHeight="1" x14ac:dyDescent="0.15">
      <c r="B21" s="20" t="s">
        <v>112</v>
      </c>
      <c r="C21" s="22" cm="1">
        <f t="array" ref="C21">F15</f>
        <v>928.48885514102324</v>
      </c>
    </row>
    <row r="22" spans="2:3" ht="15" customHeight="1" x14ac:dyDescent="0.15">
      <c r="B22" s="20" t="s">
        <v>113</v>
      </c>
      <c r="C22" s="22">
        <f>F15-F5</f>
        <v>816.98885514102324</v>
      </c>
    </row>
    <row r="23" spans="2:3" ht="15" customHeight="1" x14ac:dyDescent="0.15">
      <c r="B23" s="20" t="s">
        <v>32</v>
      </c>
      <c r="C23" s="23">
        <f>AVERAGE(E6:E15)</f>
        <v>0.25593505053674359</v>
      </c>
    </row>
    <row r="24" spans="2:3" ht="15" customHeight="1" x14ac:dyDescent="0.15">
      <c r="B24" s="20"/>
      <c r="C24" s="24"/>
    </row>
    <row r="25" spans="2:3" ht="15" customHeight="1" x14ac:dyDescent="0.15">
      <c r="B25" s="20" t="s">
        <v>114</v>
      </c>
      <c r="C25" s="22">
        <f>MAX(G6:G15)</f>
        <v>210.04645554335809</v>
      </c>
    </row>
    <row r="26" spans="2:3" ht="15" customHeight="1" x14ac:dyDescent="0.15">
      <c r="B26" s="20" t="s">
        <v>115</v>
      </c>
      <c r="C26" s="24" cm="1">
        <f t="array" ref="C26">INDEX(B6:B15,MATCH(MAX(G6:G15),G6:G15,0))</f>
        <v>2029</v>
      </c>
    </row>
  </sheetData>
  <mergeCells count="2">
    <mergeCell ref="B2:D2"/>
    <mergeCell ref="B17:C17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B06B-237E-DCF8-299B-C98A80A4C2AB}">
  <dimension ref="A2:P32"/>
  <sheetViews>
    <sheetView tabSelected="1" topLeftCell="A4" zoomScale="90" workbookViewId="0">
      <selection activeCell="H14" sqref="H14"/>
    </sheetView>
  </sheetViews>
  <sheetFormatPr baseColWidth="10" defaultColWidth="8.6640625" defaultRowHeight="15" customHeight="1" x14ac:dyDescent="0.15"/>
  <cols>
    <col min="1" max="1" width="8.6640625" style="6" customWidth="1"/>
    <col min="2" max="2" width="28.5" style="6" customWidth="1"/>
    <col min="3" max="5" width="17.1640625" style="6" customWidth="1"/>
    <col min="6" max="6" width="20" style="6" customWidth="1"/>
    <col min="7" max="16" width="8.6640625" style="6" customWidth="1"/>
  </cols>
  <sheetData>
    <row r="2" spans="2:6" ht="18.75" customHeight="1" x14ac:dyDescent="0.2">
      <c r="B2" s="97" t="s">
        <v>116</v>
      </c>
      <c r="C2" s="98"/>
      <c r="D2" s="98"/>
      <c r="E2" s="98"/>
    </row>
    <row r="3" spans="2:6" ht="15" customHeight="1" x14ac:dyDescent="0.15">
      <c r="B3" s="86" t="s">
        <v>117</v>
      </c>
      <c r="C3" s="87"/>
      <c r="D3" s="87"/>
      <c r="E3" s="87"/>
    </row>
    <row r="5" spans="2:6" ht="15" customHeight="1" x14ac:dyDescent="0.15">
      <c r="B5" s="40" t="s">
        <v>2</v>
      </c>
      <c r="C5" s="40" t="s">
        <v>96</v>
      </c>
      <c r="D5" s="40" t="s">
        <v>97</v>
      </c>
      <c r="E5" s="40" t="s">
        <v>98</v>
      </c>
      <c r="F5" s="40" t="s">
        <v>118</v>
      </c>
    </row>
    <row r="6" spans="2:6" ht="15" customHeight="1" x14ac:dyDescent="0.15">
      <c r="B6" s="29">
        <v>2025</v>
      </c>
      <c r="C6" s="30" cm="1">
        <f t="array" ref="C6">Assumptions!C40</f>
        <v>111.5</v>
      </c>
      <c r="D6" s="30" cm="1">
        <f t="array" ref="D6">Assumptions!C40</f>
        <v>111.5</v>
      </c>
      <c r="E6" s="30" cm="1">
        <f t="array" ref="E6">Assumptions!C40</f>
        <v>111.5</v>
      </c>
      <c r="F6" s="29">
        <v>0</v>
      </c>
    </row>
    <row r="7" spans="2:6" ht="15" customHeight="1" x14ac:dyDescent="0.15">
      <c r="B7" s="6">
        <v>2026</v>
      </c>
      <c r="C7" s="31">
        <f>C6*(1+Assumptions!C61)</f>
        <v>182.14931571263028</v>
      </c>
      <c r="D7" s="31">
        <f>D6*(1+Assumptions!C62)</f>
        <v>170.3744297605252</v>
      </c>
      <c r="E7" s="31">
        <f>E6*(1+Assumptions!C63)</f>
        <v>152.71210083236764</v>
      </c>
      <c r="F7" s="31">
        <f t="shared" ref="F7:F16" si="0">C7-E7</f>
        <v>29.437214880262644</v>
      </c>
    </row>
    <row r="8" spans="2:6" ht="15" customHeight="1" x14ac:dyDescent="0.15">
      <c r="B8" s="6">
        <v>2027</v>
      </c>
      <c r="C8" s="31">
        <f>C7*(1+Assumptions!C61)</f>
        <v>297.56388533255119</v>
      </c>
      <c r="D8" s="31">
        <f>D7*(1+Assumptions!C62)</f>
        <v>260.33584140111333</v>
      </c>
      <c r="E8" s="31">
        <f>E7*(1+Assumptions!C63)</f>
        <v>209.15682278596611</v>
      </c>
      <c r="F8" s="31">
        <f t="shared" si="0"/>
        <v>88.407062546585081</v>
      </c>
    </row>
    <row r="9" spans="2:6" ht="15" customHeight="1" x14ac:dyDescent="0.15">
      <c r="B9" s="6">
        <v>2028</v>
      </c>
      <c r="C9" s="31">
        <f>C8*(1+Assumptions!C61)</f>
        <v>486.10814434184556</v>
      </c>
      <c r="D9" s="31">
        <f>D8*(1+Assumptions!C62)</f>
        <v>397.79883878871044</v>
      </c>
      <c r="E9" s="31">
        <f>E8*(1+Assumptions!C63)</f>
        <v>286.4643749871579</v>
      </c>
      <c r="F9" s="31">
        <f t="shared" si="0"/>
        <v>199.64376935468766</v>
      </c>
    </row>
    <row r="10" spans="2:6" ht="15" customHeight="1" x14ac:dyDescent="0.15">
      <c r="B10" s="6">
        <v>2029</v>
      </c>
      <c r="C10" s="31">
        <f>C9*(1+Assumptions!C61)</f>
        <v>794.11897627088501</v>
      </c>
      <c r="D10" s="31">
        <f>D9*(1+Assumptions!C62)</f>
        <v>607.84529433206853</v>
      </c>
      <c r="E10" s="31">
        <f>E9*(1+Assumptions!C63)</f>
        <v>392.34597773919313</v>
      </c>
      <c r="F10" s="31">
        <f t="shared" si="0"/>
        <v>401.77299853169188</v>
      </c>
    </row>
    <row r="11" spans="2:6" ht="15" customHeight="1" x14ac:dyDescent="0.15">
      <c r="B11" s="6">
        <v>2030</v>
      </c>
      <c r="C11" s="31">
        <f>C10*(1+Assumptions!D61)</f>
        <v>833.82492508442931</v>
      </c>
      <c r="D11" s="31">
        <f>D10*(1+Assumptions!D62)</f>
        <v>620.00220021870996</v>
      </c>
      <c r="E11" s="31">
        <f>E10*(1+Assumptions!D63)</f>
        <v>392.34597773919313</v>
      </c>
      <c r="F11" s="31">
        <f t="shared" si="0"/>
        <v>441.47894734523618</v>
      </c>
    </row>
    <row r="12" spans="2:6" ht="15" customHeight="1" x14ac:dyDescent="0.15">
      <c r="B12" s="6">
        <v>2031</v>
      </c>
      <c r="C12" s="31">
        <f>C11*(1+Assumptions!D61)</f>
        <v>875.51617133865079</v>
      </c>
      <c r="D12" s="31">
        <f>D11*(1+Assumptions!D62)</f>
        <v>632.40224422308415</v>
      </c>
      <c r="E12" s="31">
        <f>E11*(1+Assumptions!D63)</f>
        <v>392.34597773919313</v>
      </c>
      <c r="F12" s="31">
        <f t="shared" si="0"/>
        <v>483.17019359945766</v>
      </c>
    </row>
    <row r="13" spans="2:6" ht="15" customHeight="1" x14ac:dyDescent="0.15">
      <c r="B13" s="6">
        <v>2032</v>
      </c>
      <c r="C13" s="31">
        <f>C12*(1+Assumptions!D61)</f>
        <v>919.29197990558339</v>
      </c>
      <c r="D13" s="31">
        <f>D12*(1+Assumptions!D62)</f>
        <v>645.05028910754584</v>
      </c>
      <c r="E13" s="31">
        <f>E12*(1+Assumptions!D63)</f>
        <v>392.34597773919313</v>
      </c>
      <c r="F13" s="31">
        <f t="shared" si="0"/>
        <v>526.94600216639026</v>
      </c>
    </row>
    <row r="14" spans="2:6" ht="15" customHeight="1" x14ac:dyDescent="0.15">
      <c r="B14" s="6">
        <v>2033</v>
      </c>
      <c r="C14" s="31">
        <f>C13*(1+Assumptions!E61)</f>
        <v>1061.695212593195</v>
      </c>
      <c r="D14" s="31">
        <f>D13*(1+Assumptions!E62)</f>
        <v>728.31839871695365</v>
      </c>
      <c r="E14" s="31">
        <f>E13*(1+Assumptions!E63)</f>
        <v>427.79892753490338</v>
      </c>
      <c r="F14" s="31">
        <f t="shared" si="0"/>
        <v>633.8962850582916</v>
      </c>
    </row>
    <row r="15" spans="2:6" ht="15" customHeight="1" x14ac:dyDescent="0.15">
      <c r="B15" s="6">
        <v>2034</v>
      </c>
      <c r="C15" s="31">
        <f>C14*(1+Assumptions!E61)</f>
        <v>1226.1574658348259</v>
      </c>
      <c r="D15" s="31">
        <f>D14*(1+Assumptions!E62)</f>
        <v>822.33540371483923</v>
      </c>
      <c r="E15" s="31">
        <f>E14*(1+Assumptions!E63)</f>
        <v>466.45545713143082</v>
      </c>
      <c r="F15" s="31">
        <f t="shared" si="0"/>
        <v>759.70200870339499</v>
      </c>
    </row>
    <row r="16" spans="2:6" ht="15" customHeight="1" x14ac:dyDescent="0.15">
      <c r="B16" s="6">
        <v>2035</v>
      </c>
      <c r="C16" s="31">
        <f>C15*(1+Assumptions!E61)</f>
        <v>1416.095799613026</v>
      </c>
      <c r="D16" s="31">
        <f>D15*(1+Assumptions!E62)</f>
        <v>928.48885514102324</v>
      </c>
      <c r="E16" s="31">
        <f>E15*(1+Assumptions!E63)</f>
        <v>508.60504663125892</v>
      </c>
      <c r="F16" s="31">
        <f t="shared" si="0"/>
        <v>907.49075298176706</v>
      </c>
    </row>
    <row r="18" spans="2:5" ht="16.5" customHeight="1" x14ac:dyDescent="0.15">
      <c r="B18" s="26" t="s">
        <v>119</v>
      </c>
    </row>
    <row r="20" spans="2:5" ht="15" customHeight="1" x14ac:dyDescent="0.15">
      <c r="B20" s="28" t="s">
        <v>26</v>
      </c>
      <c r="C20" s="28" t="s">
        <v>96</v>
      </c>
      <c r="D20" s="28" t="s">
        <v>97</v>
      </c>
      <c r="E20" s="28" t="s">
        <v>98</v>
      </c>
    </row>
    <row r="21" spans="2:5" ht="15" customHeight="1" x14ac:dyDescent="0.15">
      <c r="B21" s="6" t="s">
        <v>120</v>
      </c>
      <c r="C21" s="41" cm="1">
        <f t="array" ref="C21">C16</f>
        <v>1416.095799613026</v>
      </c>
      <c r="D21" s="42" cm="1">
        <f t="array" ref="D21">D16</f>
        <v>928.48885514102324</v>
      </c>
      <c r="E21" s="43" cm="1">
        <f t="array" ref="E21">E16</f>
        <v>508.60504663125892</v>
      </c>
    </row>
    <row r="22" spans="2:5" ht="15" customHeight="1" x14ac:dyDescent="0.15">
      <c r="B22" s="6" t="s">
        <v>111</v>
      </c>
      <c r="C22" s="44">
        <f t="shared" ref="C22:E22" si="1">(C16/C6)-1</f>
        <v>11.700410758861219</v>
      </c>
      <c r="D22" s="45">
        <f t="shared" si="1"/>
        <v>7.3272543061975171</v>
      </c>
      <c r="E22" s="46">
        <f t="shared" si="1"/>
        <v>3.5614802388453715</v>
      </c>
    </row>
    <row r="23" spans="2:5" ht="15" customHeight="1" x14ac:dyDescent="0.15">
      <c r="B23" s="6" t="s">
        <v>31</v>
      </c>
      <c r="C23" s="41">
        <f t="shared" ref="C23:E23" si="2">C16-C6</f>
        <v>1304.595799613026</v>
      </c>
      <c r="D23" s="42">
        <f t="shared" si="2"/>
        <v>816.98885514102324</v>
      </c>
      <c r="E23" s="43">
        <f t="shared" si="2"/>
        <v>397.10504663125892</v>
      </c>
    </row>
    <row r="24" spans="2:5" ht="15" customHeight="1" x14ac:dyDescent="0.15">
      <c r="B24" s="6" t="s">
        <v>121</v>
      </c>
      <c r="C24" s="44">
        <f t="shared" ref="C24:E24" si="3">(C16/C6)^(1/10)-1</f>
        <v>0.28938251549546345</v>
      </c>
      <c r="D24" s="45">
        <f t="shared" si="3"/>
        <v>0.23609025556853647</v>
      </c>
      <c r="E24" s="46">
        <f t="shared" si="3"/>
        <v>0.16388636324257955</v>
      </c>
    </row>
    <row r="25" spans="2:5" ht="15" customHeight="1" x14ac:dyDescent="0.15">
      <c r="B25" s="6" t="s">
        <v>122</v>
      </c>
      <c r="C25" s="41" cm="1">
        <f t="array" ref="C25">C10</f>
        <v>794.11897627088501</v>
      </c>
      <c r="D25" s="42" cm="1">
        <f t="array" ref="D25">D10</f>
        <v>607.84529433206853</v>
      </c>
      <c r="E25" s="43" cm="1">
        <f t="array" ref="E25">E10</f>
        <v>392.34597773919313</v>
      </c>
    </row>
    <row r="27" spans="2:5" ht="15" customHeight="1" x14ac:dyDescent="0.15">
      <c r="B27" s="19" t="s">
        <v>123</v>
      </c>
    </row>
    <row r="29" spans="2:5" ht="15" customHeight="1" x14ac:dyDescent="0.15">
      <c r="B29" s="47" t="s">
        <v>124</v>
      </c>
      <c r="C29" s="6" t="str">
        <f>E16&amp;" - "&amp;C16&amp;" students"</f>
        <v>508.605046631259 - 1416.09579961303 students</v>
      </c>
    </row>
    <row r="30" spans="2:5" ht="15" customHeight="1" x14ac:dyDescent="0.15">
      <c r="B30" s="6" t="s">
        <v>125</v>
      </c>
      <c r="C30" s="31" cm="1">
        <f t="array" ref="C30">F16</f>
        <v>907.49075298176706</v>
      </c>
      <c r="D30" s="6" t="s">
        <v>126</v>
      </c>
    </row>
    <row r="32" spans="2:5" ht="15" customHeight="1" x14ac:dyDescent="0.15">
      <c r="B32" s="47" t="s">
        <v>127</v>
      </c>
      <c r="C32" s="6" t="str">
        <f>CONCATENATE("Base to Best Case (",TEXT(D16,"#,##0")," - ",TEXT(C16,"#,##0")," students)")</f>
        <v>Base to Best Case (928 - 1,416 students)</v>
      </c>
    </row>
  </sheetData>
  <mergeCells count="2">
    <mergeCell ref="B2:E2"/>
    <mergeCell ref="B3:E3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77AF13AA40F4596F7297548955F05" ma:contentTypeVersion="3" ma:contentTypeDescription="Create a new document." ma:contentTypeScope="" ma:versionID="19c6a247520cde6c2db2adc3dd9310fd">
  <xsd:schema xmlns:xsd="http://www.w3.org/2001/XMLSchema" xmlns:xs="http://www.w3.org/2001/XMLSchema" xmlns:p="http://schemas.microsoft.com/office/2006/metadata/properties" xmlns:ns2="4a0a4580-6e63-40cb-8bef-6e3200d4e6fa" targetNamespace="http://schemas.microsoft.com/office/2006/metadata/properties" ma:root="true" ma:fieldsID="543a8583d048795f47e2cd1176fe53e3" ns2:_="">
    <xsd:import namespace="4a0a4580-6e63-40cb-8bef-6e3200d4e6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a4580-6e63-40cb-8bef-6e3200d4e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822B4-E168-4E79-B048-1A9A6E76F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0a4580-6e63-40cb-8bef-6e3200d4e6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64B1BE-FAAB-43E3-BB69-71E1F166542E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a0a4580-6e63-40cb-8bef-6e3200d4e6f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A84F39-4379-4B70-9266-400578FA79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Set</vt:lpstr>
      <vt:lpstr>Summary</vt:lpstr>
      <vt:lpstr>Assumptions</vt:lpstr>
      <vt:lpstr>MSBA_Projections</vt:lpstr>
      <vt:lpstr>Scenarios</vt:lpstr>
    </vt:vector>
  </TitlesOfParts>
  <Manager/>
  <Company>Shortcut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Liaw, Abigail</cp:lastModifiedBy>
  <cp:revision/>
  <dcterms:created xsi:type="dcterms:W3CDTF">2025-11-08T14:03:06Z</dcterms:created>
  <dcterms:modified xsi:type="dcterms:W3CDTF">2025-12-03T22:20:33Z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0x010100B2277AF13AA40F4596F7297548955F05</vt:lpwstr>
  </property>
</Properties>
</file>